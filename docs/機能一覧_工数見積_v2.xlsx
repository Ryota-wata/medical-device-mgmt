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(Ph1)" sheetId="1" state="visible" r:id="rId1"/>
  </sheets>
  <definedNames>
    <definedName name="_xlnm._FilterDatabase" localSheetId="0" hidden="1">'機能一覧(Ph1)'!$A$1:$J$285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 wrapText="1"/>
    </xf>
    <xf numFmtId="0" fontId="2" fillId="4" borderId="1" pivotButton="0" quotePrefix="0" xfId="0"/>
    <xf numFmtId="3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yota-wata.github.io/medical-device-mgmt/login" TargetMode="External" Id="rId1"/><Relationship Type="http://schemas.openxmlformats.org/officeDocument/2006/relationships/hyperlink" Target="https://ryota-wata.github.io/medical-device-mgmt/password-reset" TargetMode="External" Id="rId2"/><Relationship Type="http://schemas.openxmlformats.org/officeDocument/2006/relationships/hyperlink" Target="https://ryota-wata.github.io/medical-device-mgmt/main" TargetMode="External" Id="rId3"/><Relationship Type="http://schemas.openxmlformats.org/officeDocument/2006/relationships/hyperlink" Target="https://ryota-wata.github.io/medical-device-mgmt/ship-facility-master" TargetMode="External" Id="rId4"/><Relationship Type="http://schemas.openxmlformats.org/officeDocument/2006/relationships/hyperlink" Target="https://ryota-wata.github.io/medical-device-mgmt/ship-asset-master" TargetMode="External" Id="rId5"/><Relationship Type="http://schemas.openxmlformats.org/officeDocument/2006/relationships/hyperlink" Target="https://ryota-wata.github.io/medical-device-mgmt/ship-department-master" TargetMode="External" Id="rId6"/><Relationship Type="http://schemas.openxmlformats.org/officeDocument/2006/relationships/hyperlink" Target="https://ryota-wata.github.io/medical-device-mgmt/user-management" TargetMode="External" Id="rId7"/><Relationship Type="http://schemas.openxmlformats.org/officeDocument/2006/relationships/hyperlink" Target="https://ryota-wata.github.io/medical-device-mgmt/hospital-facility-master" TargetMode="External" Id="rId8"/><Relationship Type="http://schemas.openxmlformats.org/officeDocument/2006/relationships/hyperlink" Target="https://ryota-wata.github.io/medical-device-mgmt/vendor-master" TargetMode="External" Id="rId9"/><Relationship Type="http://schemas.openxmlformats.org/officeDocument/2006/relationships/hyperlink" Target="https://ryota-wata.github.io/medical-device-mgmt/qr-issue" TargetMode="External" Id="rId10"/><Relationship Type="http://schemas.openxmlformats.org/officeDocument/2006/relationships/hyperlink" Target="https://ryota-wata.github.io/medical-device-mgmt/qr-print" TargetMode="External" Id="rId11"/><Relationship Type="http://schemas.openxmlformats.org/officeDocument/2006/relationships/hyperlink" Target="https://ryota-wata.github.io/medical-device-mgmt/offline-prep" TargetMode="External" Id="rId12"/><Relationship Type="http://schemas.openxmlformats.org/officeDocument/2006/relationships/hyperlink" Target="https://ryota-wata.github.io/medical-device-mgmt/survey-location" TargetMode="External" Id="rId13"/><Relationship Type="http://schemas.openxmlformats.org/officeDocument/2006/relationships/hyperlink" Target="https://ryota-wata.github.io/medical-device-mgmt/asset-survey" TargetMode="External" Id="rId14"/><Relationship Type="http://schemas.openxmlformats.org/officeDocument/2006/relationships/hyperlink" Target="https://ryota-wata.github.io/medical-device-mgmt/history" TargetMode="External" Id="rId15"/><Relationship Type="http://schemas.openxmlformats.org/officeDocument/2006/relationships/hyperlink" Target="https://ryota-wata.github.io/medical-device-mgmt/registration-edit" TargetMode="External" Id="rId16"/><Relationship Type="http://schemas.openxmlformats.org/officeDocument/2006/relationships/hyperlink" Target="https://ryota-wata.github.io/medical-device-mgmt/asset-import" TargetMode="External" Id="rId17"/><Relationship Type="http://schemas.openxmlformats.org/officeDocument/2006/relationships/hyperlink" Target="https://ryota-wata.github.io/medical-device-mgmt/asset-matching" TargetMode="External" Id="rId18"/><Relationship Type="http://schemas.openxmlformats.org/officeDocument/2006/relationships/hyperlink" Target="https://ryota-wata.github.io/medical-device-mgmt/data-matching" TargetMode="External" Id="rId19"/><Relationship Type="http://schemas.openxmlformats.org/officeDocument/2006/relationships/hyperlink" Target="https://ryota-wata.github.io/medical-device-mgmt/data-matching/ledger" TargetMode="External" Id="rId20"/><Relationship Type="http://schemas.openxmlformats.org/officeDocument/2006/relationships/hyperlink" Target="https://ryota-wata.github.io/medical-device-mgmt/asset-search-result" TargetMode="External" Id="rId21"/><Relationship Type="http://schemas.openxmlformats.org/officeDocument/2006/relationships/hyperlink" Target="https://ryota-wata.github.io/medical-device-mgmt/asset-detail" TargetMode="External" Id="rId22"/><Relationship Type="http://schemas.openxmlformats.org/officeDocument/2006/relationships/hyperlink" Target="https://ryota-wata.github.io/medical-device-mgmt/inventory" TargetMode="External" Id="rId23"/><Relationship Type="http://schemas.openxmlformats.org/officeDocument/2006/relationships/hyperlink" Target="https://ryota-wata.github.io/medical-device-mgmt/remodel-application" TargetMode="External" Id="rId24"/><Relationship Type="http://schemas.openxmlformats.org/officeDocument/2006/relationships/hyperlink" Target="https://ryota-wata.github.io/medical-device-mgmt/remodel-application" TargetMode="External" Id="rId25"/><Relationship Type="http://schemas.openxmlformats.org/officeDocument/2006/relationships/hyperlink" Target="https://ryota-wata.github.io/medical-device-mgmt/quotation-data-box" TargetMode="External" Id="rId26"/><Relationship Type="http://schemas.openxmlformats.org/officeDocument/2006/relationships/hyperlink" Target="https://ryota-wata.github.io/medical-device-mgmt/quotation-data-box/remodel-management" TargetMode="External" Id="rId27"/><Relationship Type="http://schemas.openxmlformats.org/officeDocument/2006/relationships/hyperlink" Target="https://ryota-wata.github.io/medical-device-mgmt/quotation-data-box/purchase-management" TargetMode="External" Id="rId28"/><Relationship Type="http://schemas.openxmlformats.org/officeDocument/2006/relationships/hyperlink" Target="https://ryota-wata.github.io/medical-device-mgmt/quotation-data-box/borrowing-management" TargetMode="External" Id="rId29"/><Relationship Type="http://schemas.openxmlformats.org/officeDocument/2006/relationships/hyperlink" Target="https://ryota-wata.github.io/medical-device-mgmt/quotation-data-box/transfer-management" TargetMode="External" Id="rId30"/><Relationship Type="http://schemas.openxmlformats.org/officeDocument/2006/relationships/hyperlink" Target="https://ryota-wata.github.io/medical-device-mgmt/quotation-data-box/disposal-management" TargetMode="External" Id="rId31"/><Relationship Type="http://schemas.openxmlformats.org/officeDocument/2006/relationships/hyperlink" Target="https://ryota-wata.github.io/medical-device-mgmt/quotation-data-box/repair-requests" TargetMode="External" Id="rId32"/><Relationship Type="http://schemas.openxmlformats.org/officeDocument/2006/relationships/hyperlink" Target="https://ryota-wata.github.io/medical-device-mgmt/quotation-data-box/maintenance-contracts" TargetMode="External" Id="rId33"/><Relationship Type="http://schemas.openxmlformats.org/officeDocument/2006/relationships/hyperlink" Target="https://ryota-wata.github.io/medical-device-mgmt/quotation-data-box/inspection-requests" TargetMode="External" Id="rId34"/><Relationship Type="http://schemas.openxmlformats.org/officeDocument/2006/relationships/hyperlink" Target="https://ryota-wata.github.io/medical-device-mgmt/quotation-data-box/lending-management" TargetMode="External" Id="rId35"/><Relationship Type="http://schemas.openxmlformats.org/officeDocument/2006/relationships/hyperlink" Target="https://ryota-wata.github.io/medical-device-mgmt/quotation-management" TargetMode="External" Id="rId36"/><Relationship Type="http://schemas.openxmlformats.org/officeDocument/2006/relationships/hyperlink" Target="https://ryota-wata.github.io/medical-device-mgmt/quotation-processing" TargetMode="External" Id="rId37"/><Relationship Type="http://schemas.openxmlformats.org/officeDocument/2006/relationships/hyperlink" Target="https://ryota-wata.github.io/medical-device-mgmt/quotation-data-box/ocr-confirm" TargetMode="External" Id="rId38"/><Relationship Type="http://schemas.openxmlformats.org/officeDocument/2006/relationships/hyperlink" Target="https://ryota-wata.github.io/medical-device-mgmt/quotation-data-box/item-ai-matching" TargetMode="External" Id="rId39"/><Relationship Type="http://schemas.openxmlformats.org/officeDocument/2006/relationships/hyperlink" Target="https://ryota-wata.github.io/medical-device-mgmt/quotation-data-box/price-allocation" TargetMode="External" Id="rId40"/><Relationship Type="http://schemas.openxmlformats.org/officeDocument/2006/relationships/hyperlink" Target="https://ryota-wata.github.io/medical-device-mgmt/quotation-data-box/asset-provisional-registration" TargetMode="External" Id="rId41"/><Relationship Type="http://schemas.openxmlformats.org/officeDocument/2006/relationships/hyperlink" Target="https://ryota-wata.github.io/medical-device-mgmt/quotation-data-box/order-registration" TargetMode="External" Id="rId42"/><Relationship Type="http://schemas.openxmlformats.org/officeDocument/2006/relationships/hyperlink" Target="https://ryota-wata.github.io/medical-device-mgmt/quotation-data-box/inspection-registration" TargetMode="External" Id="rId43"/><Relationship Type="http://schemas.openxmlformats.org/officeDocument/2006/relationships/hyperlink" Target="https://ryota-wata.github.io/medical-device-mgmt/inspection-prep" TargetMode="External" Id="rId44"/><Relationship Type="http://schemas.openxmlformats.org/officeDocument/2006/relationships/hyperlink" Target="https://ryota-wata.github.io/medical-device-mgmt/daily-inspection" TargetMode="External" Id="rId45"/><Relationship Type="http://schemas.openxmlformats.org/officeDocument/2006/relationships/hyperlink" Target="https://ryota-wata.github.io/medical-device-mgmt/inspection-result" TargetMode="External" Id="rId46"/><Relationship Type="http://schemas.openxmlformats.org/officeDocument/2006/relationships/hyperlink" Target="https://ryota-wata.github.io/medical-device-mgmt/maker-maintenance-result" TargetMode="External" Id="rId47"/><Relationship Type="http://schemas.openxmlformats.org/officeDocument/2006/relationships/hyperlink" Target="https://ryota-wata.github.io/medical-device-mgmt/maintenance-quote-registration" TargetMode="External" Id="rId48"/><Relationship Type="http://schemas.openxmlformats.org/officeDocument/2006/relationships/hyperlink" Target="https://ryota-wata.github.io/medical-device-mgmt/repair-request" TargetMode="External" Id="rId49"/><Relationship Type="http://schemas.openxmlformats.org/officeDocument/2006/relationships/hyperlink" Target="https://ryota-wata.github.io/medical-device-mgmt/repair-task" TargetMode="External" Id="rId50"/><Relationship Type="http://schemas.openxmlformats.org/officeDocument/2006/relationships/hyperlink" Target="https://ryota-wata.github.io/medical-device-mgmt/lending-available" TargetMode="External" Id="rId51"/><Relationship Type="http://schemas.openxmlformats.org/officeDocument/2006/relationships/hyperlink" Target="https://ryota-wata.github.io/medical-device-mgmt/lending-checkout" TargetMode="External" Id="rId52"/><Relationship Type="http://schemas.openxmlformats.org/officeDocument/2006/relationships/hyperlink" Target="https://ryota-wata.github.io/medical-device-mgmt/borrowing-task" TargetMode="External" Id="rId53"/><Relationship Type="http://schemas.openxmlformats.org/officeDocument/2006/relationships/hyperlink" Target="https://ryota-wata.github.io/medical-device-mgmt/disposal-task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55" customWidth="1" min="4" max="4"/>
    <col width="45" customWidth="1" min="5" max="5"/>
    <col width="12" customWidth="1" min="6" max="6"/>
    <col width="16" customWidth="1" min="7" max="7"/>
    <col width="16" customWidth="1" min="8" max="8"/>
    <col width="14" customWidth="1" min="9" max="9"/>
    <col width="20" customWidth="1" min="10" max="10"/>
  </cols>
  <sheetData>
    <row r="1">
      <c r="A1" s="1" t="inlineStr">
        <is>
          <t>大機能</t>
        </is>
      </c>
      <c r="B1" s="1" t="inlineStr">
        <is>
          <t>中機能</t>
        </is>
      </c>
      <c r="C1" s="1" t="inlineStr">
        <is>
          <t>小機能</t>
        </is>
      </c>
      <c r="D1" s="1" t="inlineStr">
        <is>
          <t>機能概要</t>
        </is>
      </c>
      <c r="E1" s="1" t="inlineStr">
        <is>
          <t>画面モックURL</t>
        </is>
      </c>
      <c r="F1" s="1" t="inlineStr">
        <is>
          <t>開発・単テ(時間)</t>
        </is>
      </c>
      <c r="G1" s="1" t="inlineStr">
        <is>
          <t>バッファ込み</t>
        </is>
      </c>
      <c r="H1" s="1" t="inlineStr">
        <is>
          <t>(テスト谷口さん)</t>
        </is>
      </c>
      <c r="I1" s="1" t="inlineStr">
        <is>
          <t>総合テスト(時間)</t>
        </is>
      </c>
      <c r="J1" s="1" t="inlineStr">
        <is>
          <t>合計工数(時間)</t>
        </is>
      </c>
      <c r="K1" s="1" t="inlineStr">
        <is>
          <t>備考</t>
        </is>
      </c>
    </row>
    <row r="2">
      <c r="A2" s="2" t="inlineStr">
        <is>
          <t>共通</t>
        </is>
      </c>
      <c r="B2" s="3" t="inlineStr">
        <is>
          <t>UI部品</t>
        </is>
      </c>
      <c r="C2" s="3" t="inlineStr">
        <is>
          <t>レスポンシブ対応</t>
        </is>
      </c>
      <c r="D2" s="3" t="inlineStr">
        <is>
          <t>PC/タブレット/モバイル表示切替</t>
        </is>
      </c>
      <c r="F2" s="4" t="n">
        <v>12</v>
      </c>
      <c r="G2" s="4">
        <f>F2*$G$303</f>
        <v/>
      </c>
      <c r="H2" s="4" t="n">
        <v>4</v>
      </c>
      <c r="I2" s="4">
        <f>H2-2</f>
        <v/>
      </c>
      <c r="J2" s="4">
        <f>SUM(F2+I2)</f>
        <v/>
      </c>
      <c r="K2" s="3" t="inlineStr"/>
    </row>
    <row r="3">
      <c r="A3" s="2" t="inlineStr">
        <is>
          <t>認証</t>
        </is>
      </c>
      <c r="B3" s="3" t="inlineStr">
        <is>
          <t>ログイン</t>
        </is>
      </c>
      <c r="C3" s="3" t="inlineStr">
        <is>
          <t>ログインフォーム</t>
        </is>
      </c>
      <c r="D3" s="3" t="inlineStr">
        <is>
          <t>メールアドレス・パスワード入力フォーム</t>
        </is>
      </c>
      <c r="E3" s="14" t="inlineStr">
        <is>
          <t>https://ryota-wata.github.io/medical-device-mgmt/login</t>
        </is>
      </c>
      <c r="F3" s="4" t="n">
        <v>8</v>
      </c>
      <c r="G3" s="4">
        <f>F3*$G$303</f>
        <v/>
      </c>
      <c r="H3" s="4" t="n">
        <v>2.5</v>
      </c>
      <c r="I3" s="4">
        <f>H3-2</f>
        <v/>
      </c>
      <c r="J3" s="4">
        <f>SUM(F3+I3)</f>
        <v/>
      </c>
      <c r="K3" s="3" t="inlineStr"/>
    </row>
    <row r="4">
      <c r="A4" s="3" t="n"/>
      <c r="B4" s="3" t="n"/>
      <c r="C4" s="3" t="inlineStr">
        <is>
          <t>バリデーション</t>
        </is>
      </c>
      <c r="D4" s="3" t="inlineStr">
        <is>
          <t>入力値のバリデーション処理</t>
        </is>
      </c>
      <c r="F4" s="4" t="n">
        <v>8</v>
      </c>
      <c r="G4" s="4">
        <f>F4*$G$303</f>
        <v/>
      </c>
      <c r="H4" s="4" t="n">
        <v>2.5</v>
      </c>
      <c r="I4" s="4">
        <f>H4-2</f>
        <v/>
      </c>
      <c r="J4" s="4">
        <f>SUM(F4+I4)</f>
        <v/>
      </c>
      <c r="K4" s="3" t="inlineStr"/>
    </row>
    <row r="5">
      <c r="A5" s="3" t="n"/>
      <c r="B5" s="3" t="n"/>
      <c r="C5" s="3" t="inlineStr">
        <is>
          <t>認証処理</t>
        </is>
      </c>
      <c r="D5" s="3" t="inlineStr">
        <is>
          <t>ログイン認証・セッション管理</t>
        </is>
      </c>
      <c r="F5" s="4" t="n">
        <v>8</v>
      </c>
      <c r="G5" s="4">
        <f>F5*$G$303</f>
        <v/>
      </c>
      <c r="H5" s="4" t="n">
        <v>2.5</v>
      </c>
      <c r="I5" s="4">
        <f>H5-2</f>
        <v/>
      </c>
      <c r="J5" s="4">
        <f>SUM(F5+I5)</f>
        <v/>
      </c>
      <c r="K5" s="3" t="inlineStr"/>
    </row>
    <row r="6">
      <c r="A6" s="3" t="n"/>
      <c r="B6" s="3" t="inlineStr">
        <is>
          <t>パスワード再設定</t>
        </is>
      </c>
      <c r="C6" s="3" t="inlineStr">
        <is>
          <t>メール送信フォーム</t>
        </is>
      </c>
      <c r="D6" s="3" t="inlineStr">
        <is>
          <t>パスワード再設定メール送信</t>
        </is>
      </c>
      <c r="E6" s="14" t="inlineStr">
        <is>
          <t>https://ryota-wata.github.io/medical-device-mgmt/password-reset</t>
        </is>
      </c>
      <c r="F6" s="4" t="n">
        <v>8</v>
      </c>
      <c r="G6" s="4">
        <f>F6*$G$303</f>
        <v/>
      </c>
      <c r="H6" s="4" t="n">
        <v>2.5</v>
      </c>
      <c r="I6" s="4">
        <f>H6-2</f>
        <v/>
      </c>
      <c r="J6" s="4">
        <f>SUM(F6+I6)</f>
        <v/>
      </c>
      <c r="K6" s="3" t="inlineStr"/>
    </row>
    <row r="7">
      <c r="A7" s="3" t="n"/>
      <c r="B7" s="3" t="n"/>
      <c r="C7" s="3" t="inlineStr">
        <is>
          <t>パスワード変更</t>
        </is>
      </c>
      <c r="D7" s="3" t="inlineStr">
        <is>
          <t>新パスワード設定処理</t>
        </is>
      </c>
      <c r="F7" s="4" t="n">
        <v>8</v>
      </c>
      <c r="G7" s="4">
        <f>F7*$G$303</f>
        <v/>
      </c>
      <c r="H7" s="4" t="n">
        <v>2.5</v>
      </c>
      <c r="I7" s="4">
        <f>H7-2</f>
        <v/>
      </c>
      <c r="J7" s="4">
        <f>SUM(F7+I7)</f>
        <v/>
      </c>
      <c r="K7" s="3" t="inlineStr"/>
    </row>
    <row r="8">
      <c r="A8" s="2" t="inlineStr">
        <is>
          <t>ダッシュボード</t>
        </is>
      </c>
      <c r="B8" s="3" t="inlineStr">
        <is>
          <t>メイン画面</t>
        </is>
      </c>
      <c r="C8" s="3" t="inlineStr">
        <is>
          <t>メニュー表示</t>
        </is>
      </c>
      <c r="D8" s="3" t="inlineStr">
        <is>
          <t>メニューボタン一覧表示・選択画面へ遷移</t>
        </is>
      </c>
      <c r="E8" s="14" t="inlineStr">
        <is>
          <t>https://ryota-wata.github.io/medical-device-mgmt/main</t>
        </is>
      </c>
      <c r="F8" s="4" t="n">
        <v>12</v>
      </c>
      <c r="G8" s="4">
        <f>F8*$G$303</f>
        <v/>
      </c>
      <c r="H8" s="4" t="n">
        <v>4</v>
      </c>
      <c r="I8" s="4">
        <f>H8-2</f>
        <v/>
      </c>
      <c r="J8" s="4">
        <f>SUM(F8+I8)</f>
        <v/>
      </c>
      <c r="K8" s="3" t="inlineStr"/>
    </row>
    <row r="9">
      <c r="A9" s="3" t="n"/>
      <c r="B9" s="3" t="n"/>
      <c r="C9" s="3" t="inlineStr">
        <is>
          <t>ユーザー権限判定</t>
        </is>
      </c>
      <c r="D9" s="3" t="inlineStr">
        <is>
          <t>ユーザーの権限判定(権限で表示内容制御)</t>
        </is>
      </c>
      <c r="F9" s="4" t="n">
        <v>8</v>
      </c>
      <c r="G9" s="4">
        <f>F9*$G$303</f>
        <v/>
      </c>
      <c r="H9" s="4" t="n">
        <v>2.5</v>
      </c>
      <c r="I9" s="4">
        <f>H9-2</f>
        <v/>
      </c>
      <c r="J9" s="4">
        <f>SUM(F9+I9)</f>
        <v/>
      </c>
      <c r="K9" s="3" t="inlineStr"/>
    </row>
    <row r="10">
      <c r="A10" s="3" t="n"/>
      <c r="B10" s="3" t="n"/>
      <c r="C10" s="3" t="inlineStr">
        <is>
          <t>ラベル読取</t>
        </is>
      </c>
      <c r="D10" s="3" t="inlineStr">
        <is>
          <t>ラベル読込でカルテ画面へ遷移</t>
        </is>
      </c>
      <c r="F10" s="4" t="n">
        <v>12</v>
      </c>
      <c r="G10" s="4">
        <f>F10*$G$303</f>
        <v/>
      </c>
      <c r="H10" s="4" t="n">
        <v>4</v>
      </c>
      <c r="I10" s="4">
        <f>H10-2</f>
        <v/>
      </c>
      <c r="J10" s="4">
        <f>SUM(F10+I10)</f>
        <v/>
      </c>
      <c r="K10" s="3" t="inlineStr"/>
    </row>
    <row r="11">
      <c r="A11" s="5" t="n"/>
      <c r="B11" s="5" t="n"/>
      <c r="C11" s="5" t="inlineStr">
        <is>
          <t>編集リストモーダル</t>
        </is>
      </c>
      <c r="D11" s="5" t="inlineStr">
        <is>
          <t>編集リスト作成・選択・削除モーダル</t>
        </is>
      </c>
      <c r="F11" s="6" t="n">
        <v>12</v>
      </c>
      <c r="G11" s="6">
        <f>F11*$G$303</f>
        <v/>
      </c>
      <c r="H11" s="6" t="n">
        <v>4</v>
      </c>
      <c r="I11" s="6">
        <f>H11-2</f>
        <v/>
      </c>
      <c r="J11" s="6">
        <f>SUM(F11+I11)</f>
        <v/>
      </c>
      <c r="K11" s="5" t="inlineStr">
        <is>
          <t>NEW</t>
        </is>
      </c>
    </row>
    <row r="12">
      <c r="A12" s="3" t="n"/>
      <c r="B12" s="3" t="n"/>
      <c r="C12" s="3" t="inlineStr">
        <is>
          <t>個体管理リスト施設選択</t>
        </is>
      </c>
      <c r="D12" s="3" t="inlineStr">
        <is>
          <t>施設選択からリスト作成画面への遷移モーダル</t>
        </is>
      </c>
      <c r="F12" s="4" t="n">
        <v>12</v>
      </c>
      <c r="G12" s="4">
        <f>F12*$G$303</f>
        <v/>
      </c>
      <c r="H12" s="4" t="n">
        <v>4</v>
      </c>
      <c r="I12" s="4">
        <f>H12-2</f>
        <v/>
      </c>
      <c r="J12" s="4">
        <f>SUM(F12+I12)</f>
        <v/>
      </c>
      <c r="K12" s="3" t="inlineStr"/>
    </row>
    <row r="13">
      <c r="A13" s="5" t="n"/>
      <c r="B13" s="5" t="n"/>
      <c r="C13" s="5" t="inlineStr">
        <is>
          <t>マスタ管理モーダル</t>
        </is>
      </c>
      <c r="D13" s="5" t="inlineStr">
        <is>
          <t>マスタ管理画面への遷移モーダル（権限別表示）</t>
        </is>
      </c>
      <c r="F13" s="6" t="n">
        <v>8</v>
      </c>
      <c r="G13" s="6">
        <f>F13*$G$303</f>
        <v/>
      </c>
      <c r="H13" s="6" t="n">
        <v>2.5</v>
      </c>
      <c r="I13" s="6">
        <f>H13-2</f>
        <v/>
      </c>
      <c r="J13" s="6">
        <f>SUM(F13+I13)</f>
        <v/>
      </c>
      <c r="K13" s="5" t="inlineStr">
        <is>
          <t>NEW</t>
        </is>
      </c>
    </row>
    <row r="14">
      <c r="A14" s="5" t="n"/>
      <c r="B14" s="5" t="n"/>
      <c r="C14" s="5" t="inlineStr">
        <is>
          <t>貸出メニューモーダル</t>
        </is>
      </c>
      <c r="D14" s="5" t="inlineStr">
        <is>
          <t>貸出可能機器閲覧・貸出返却への遷移</t>
        </is>
      </c>
      <c r="F14" s="6" t="n">
        <v>8</v>
      </c>
      <c r="G14" s="6">
        <f>F14*$G$303</f>
        <v/>
      </c>
      <c r="H14" s="6" t="n">
        <v>2.5</v>
      </c>
      <c r="I14" s="6">
        <f>H14-2</f>
        <v/>
      </c>
      <c r="J14" s="6">
        <f>SUM(F14+I14)</f>
        <v/>
      </c>
      <c r="K14" s="5" t="inlineStr">
        <is>
          <t>NEW</t>
        </is>
      </c>
    </row>
    <row r="15">
      <c r="A15" s="5" t="n"/>
      <c r="B15" s="5" t="n"/>
      <c r="C15" s="5" t="inlineStr">
        <is>
          <t>申請ステータスモーダル</t>
        </is>
      </c>
      <c r="D15" s="5" t="inlineStr">
        <is>
          <t>病院側ユーザー向け全申請一覧表示（ステータスバッジ付き）</t>
        </is>
      </c>
      <c r="F15" s="6" t="n">
        <v>12</v>
      </c>
      <c r="G15" s="6">
        <f>F15*$G$303</f>
        <v/>
      </c>
      <c r="H15" s="6" t="n">
        <v>4</v>
      </c>
      <c r="I15" s="6">
        <f>H15-2</f>
        <v/>
      </c>
      <c r="J15" s="6">
        <f>SUM(F15+I15)</f>
        <v/>
      </c>
      <c r="K15" s="5" t="inlineStr">
        <is>
          <t>NEW</t>
        </is>
      </c>
    </row>
    <row r="16">
      <c r="A16" s="5" t="n"/>
      <c r="B16" s="5" t="n"/>
      <c r="C16" s="5" t="inlineStr">
        <is>
          <t>病院選択モーダル</t>
        </is>
      </c>
      <c r="D16" s="5" t="inlineStr">
        <is>
          <t>SHIP側ユーザー向け病院マスタ選択</t>
        </is>
      </c>
      <c r="F16" s="6" t="n">
        <v>8</v>
      </c>
      <c r="G16" s="6">
        <f>F16*$G$303</f>
        <v/>
      </c>
      <c r="H16" s="6" t="n">
        <v>2.5</v>
      </c>
      <c r="I16" s="6">
        <f>H16-2</f>
        <v/>
      </c>
      <c r="J16" s="6">
        <f>SUM(F16+I16)</f>
        <v/>
      </c>
      <c r="K16" s="5" t="inlineStr">
        <is>
          <t>NEW</t>
        </is>
      </c>
    </row>
    <row r="17">
      <c r="A17" s="3" t="n"/>
      <c r="B17" s="3" t="n"/>
      <c r="C17" s="3" t="inlineStr">
        <is>
          <t>ログアウト</t>
        </is>
      </c>
      <c r="D17" s="3" t="inlineStr">
        <is>
          <t>ログアウト処理</t>
        </is>
      </c>
      <c r="F17" s="4" t="n">
        <v>8</v>
      </c>
      <c r="G17" s="4">
        <f>F17*$G$303</f>
        <v/>
      </c>
      <c r="H17" s="4" t="n">
        <v>2.5</v>
      </c>
      <c r="I17" s="4">
        <f>H17-2</f>
        <v/>
      </c>
      <c r="J17" s="4">
        <f>SUM(F17+I17)</f>
        <v/>
      </c>
      <c r="K17" s="3" t="inlineStr"/>
    </row>
    <row r="18">
      <c r="A18" s="10" t="n"/>
      <c r="B18" s="11" t="n"/>
      <c r="C18" s="11" t="inlineStr">
        <is>
          <t>見積管理ヘッダーボタン</t>
        </is>
      </c>
      <c r="D18" s="11" t="inlineStr">
        <is>
          <t>見積管理画面へのヘッダーナビゲーションボタン（権限別表示）</t>
        </is>
      </c>
      <c r="F18" s="12" t="n">
        <v>8</v>
      </c>
      <c r="G18" s="12">
        <f>F18*$G$303</f>
        <v/>
      </c>
      <c r="H18" s="12" t="n">
        <v>2.5</v>
      </c>
      <c r="I18" s="12">
        <f>H18-2</f>
        <v/>
      </c>
      <c r="J18" s="12">
        <f>SUM(F18+I18)</f>
        <v/>
      </c>
      <c r="K18" s="11" t="inlineStr">
        <is>
          <t>NEW</t>
        </is>
      </c>
    </row>
    <row r="19">
      <c r="A19" s="2" t="inlineStr">
        <is>
          <t>マスタ管理</t>
        </is>
      </c>
      <c r="B19" s="3" t="inlineStr">
        <is>
          <t>SHIP施設マスタ</t>
        </is>
      </c>
      <c r="C19" s="3" t="inlineStr">
        <is>
          <t>一覧表示</t>
        </is>
      </c>
      <c r="D19" s="3" t="inlineStr">
        <is>
          <t>施設一覧テーブル表示</t>
        </is>
      </c>
      <c r="E19" s="14" t="inlineStr">
        <is>
          <t>https://ryota-wata.github.io/medical-device-mgmt/ship-facility-master</t>
        </is>
      </c>
      <c r="F19" s="4" t="n">
        <v>12</v>
      </c>
      <c r="G19" s="4">
        <f>F19*$G$303</f>
        <v/>
      </c>
      <c r="H19" s="4" t="n">
        <v>4</v>
      </c>
      <c r="I19" s="4">
        <f>H19-2</f>
        <v/>
      </c>
      <c r="J19" s="4">
        <f>SUM(F19+I19)</f>
        <v/>
      </c>
      <c r="K19" s="3" t="inlineStr"/>
    </row>
    <row r="20">
      <c r="A20" s="3" t="n"/>
      <c r="B20" s="3" t="n"/>
      <c r="C20" s="3" t="inlineStr">
        <is>
          <t>フィルター機能</t>
        </is>
      </c>
      <c r="D20" s="3" t="inlineStr">
        <is>
          <t>施設コード・施設名・都道府県・市区町村フィルター</t>
        </is>
      </c>
      <c r="F20" s="4" t="n">
        <v>12</v>
      </c>
      <c r="G20" s="4">
        <f>F20*$G$303</f>
        <v/>
      </c>
      <c r="H20" s="4" t="n">
        <v>4</v>
      </c>
      <c r="I20" s="4">
        <f>H20-2</f>
        <v/>
      </c>
      <c r="J20" s="4">
        <f>SUM(F20+I20)</f>
        <v/>
      </c>
      <c r="K20" s="3" t="inlineStr"/>
    </row>
    <row r="21">
      <c r="A21" s="3" t="n"/>
      <c r="B21" s="3" t="n"/>
      <c r="C21" s="3" t="inlineStr">
        <is>
          <t>新規作成モーダル</t>
        </is>
      </c>
      <c r="D21" s="3" t="inlineStr">
        <is>
          <t>施設新規登録フォーム・登録処理</t>
        </is>
      </c>
      <c r="F21" s="4" t="n">
        <v>16</v>
      </c>
      <c r="G21" s="4">
        <f>F21*$G$303</f>
        <v/>
      </c>
      <c r="H21" s="4" t="n">
        <v>5</v>
      </c>
      <c r="I21" s="4">
        <f>H21-2</f>
        <v/>
      </c>
      <c r="J21" s="4">
        <f>SUM(F21+I21)</f>
        <v/>
      </c>
      <c r="K21" s="3" t="inlineStr"/>
    </row>
    <row r="22">
      <c r="A22" s="3" t="n"/>
      <c r="B22" s="3" t="n"/>
      <c r="C22" s="3" t="inlineStr">
        <is>
          <t>編集モーダル</t>
        </is>
      </c>
      <c r="D22" s="3" t="inlineStr">
        <is>
          <t>施設情報編集フォーム・編集処理</t>
        </is>
      </c>
      <c r="F22" s="4" t="n">
        <v>12</v>
      </c>
      <c r="G22" s="4">
        <f>F22*$G$303</f>
        <v/>
      </c>
      <c r="H22" s="4" t="n">
        <v>4</v>
      </c>
      <c r="I22" s="4">
        <f>H22-2</f>
        <v/>
      </c>
      <c r="J22" s="4">
        <f>SUM(F22+I22)</f>
        <v/>
      </c>
      <c r="K22" s="3" t="inlineStr"/>
    </row>
    <row r="23">
      <c r="A23" s="3" t="n"/>
      <c r="B23" s="3" t="n"/>
      <c r="C23" s="3" t="inlineStr">
        <is>
          <t>削除機能</t>
        </is>
      </c>
      <c r="D23" s="3" t="inlineStr">
        <is>
          <t>削除確認ポップアップ・削除処理</t>
        </is>
      </c>
      <c r="F23" s="4" t="n">
        <v>8</v>
      </c>
      <c r="G23" s="4">
        <f>F23*$G$303</f>
        <v/>
      </c>
      <c r="H23" s="4" t="n">
        <v>2.5</v>
      </c>
      <c r="I23" s="4">
        <f>H23-2</f>
        <v/>
      </c>
      <c r="J23" s="4">
        <f>SUM(F23+I23)</f>
        <v/>
      </c>
      <c r="K23" s="3" t="inlineStr"/>
    </row>
    <row r="24">
      <c r="A24" s="3" t="n"/>
      <c r="B24" s="3" t="inlineStr">
        <is>
          <t>SHIP資産マスタ</t>
        </is>
      </c>
      <c r="C24" s="3" t="inlineStr">
        <is>
          <t>一覧表示</t>
        </is>
      </c>
      <c r="D24" s="3" t="inlineStr">
        <is>
          <t>資産マスタ一覧テーブル表示</t>
        </is>
      </c>
      <c r="E24" s="14" t="inlineStr">
        <is>
          <t>https://ryota-wata.github.io/medical-device-mgmt/ship-asset-master</t>
        </is>
      </c>
      <c r="F24" s="4" t="n">
        <v>12</v>
      </c>
      <c r="G24" s="4">
        <f>F24*$G$303</f>
        <v/>
      </c>
      <c r="H24" s="4" t="n">
        <v>4</v>
      </c>
      <c r="I24" s="4">
        <f>H24-2</f>
        <v/>
      </c>
      <c r="J24" s="4">
        <f>SUM(F24+I24)</f>
        <v/>
      </c>
      <c r="K24" s="3" t="inlineStr"/>
    </row>
    <row r="25">
      <c r="A25" s="3" t="n"/>
      <c r="B25" s="3" t="n"/>
      <c r="C25" s="3" t="inlineStr">
        <is>
          <t>フィルター機能</t>
        </is>
      </c>
      <c r="D25" s="3" t="inlineStr">
        <is>
          <t>Category・大分類・中分類・品目・メーカーフィルター</t>
        </is>
      </c>
      <c r="F25" s="4" t="n">
        <v>12</v>
      </c>
      <c r="G25" s="4">
        <f>F25*$G$303</f>
        <v/>
      </c>
      <c r="H25" s="4" t="n">
        <v>4</v>
      </c>
      <c r="I25" s="4">
        <f>H25-2</f>
        <v/>
      </c>
      <c r="J25" s="4">
        <f>SUM(F25+I25)</f>
        <v/>
      </c>
      <c r="K25" s="3" t="inlineStr"/>
    </row>
    <row r="26">
      <c r="A26" s="3" t="n"/>
      <c r="B26" s="3" t="n"/>
      <c r="C26" s="3" t="inlineStr">
        <is>
          <t>新規作成モーダル</t>
        </is>
      </c>
      <c r="D26" s="3" t="inlineStr">
        <is>
          <t>資産マスタ新規登録フォーム・登録処理</t>
        </is>
      </c>
      <c r="F26" s="4" t="n">
        <v>16</v>
      </c>
      <c r="G26" s="4">
        <f>F26*$G$303</f>
        <v/>
      </c>
      <c r="H26" s="4" t="n">
        <v>5</v>
      </c>
      <c r="I26" s="4">
        <f>H26-2</f>
        <v/>
      </c>
      <c r="J26" s="4">
        <f>SUM(F26+I26)</f>
        <v/>
      </c>
      <c r="K26" s="3" t="inlineStr"/>
    </row>
    <row r="27">
      <c r="A27" s="3" t="n"/>
      <c r="B27" s="3" t="n"/>
      <c r="C27" s="3" t="inlineStr">
        <is>
          <t>編集モーダル</t>
        </is>
      </c>
      <c r="D27" s="3" t="inlineStr">
        <is>
          <t>資産マスタ編集フォーム・編集処理</t>
        </is>
      </c>
      <c r="F27" s="4" t="n">
        <v>12</v>
      </c>
      <c r="G27" s="4">
        <f>F27*$G$303</f>
        <v/>
      </c>
      <c r="H27" s="4" t="n">
        <v>4</v>
      </c>
      <c r="I27" s="4">
        <f>H27-2</f>
        <v/>
      </c>
      <c r="J27" s="4">
        <f>SUM(F27+I27)</f>
        <v/>
      </c>
      <c r="K27" s="3" t="inlineStr"/>
    </row>
    <row r="28">
      <c r="A28" s="3" t="n"/>
      <c r="B28" s="3" t="n"/>
      <c r="C28" s="3" t="inlineStr">
        <is>
          <t>削除機能</t>
        </is>
      </c>
      <c r="D28" s="3" t="inlineStr">
        <is>
          <t>削除確認ポップアップ・削除処理</t>
        </is>
      </c>
      <c r="F28" s="4" t="n">
        <v>8</v>
      </c>
      <c r="G28" s="4">
        <f>F28*$G$303</f>
        <v/>
      </c>
      <c r="H28" s="4" t="n">
        <v>2.5</v>
      </c>
      <c r="I28" s="4">
        <f>H28-2</f>
        <v/>
      </c>
      <c r="J28" s="4">
        <f>SUM(F28+I28)</f>
        <v/>
      </c>
      <c r="K28" s="3" t="inlineStr"/>
    </row>
    <row r="29">
      <c r="A29" s="5" t="n"/>
      <c r="B29" s="5" t="n"/>
      <c r="C29" s="5" t="inlineStr">
        <is>
          <t>Excelインポート</t>
        </is>
      </c>
      <c r="D29" s="5" t="inlineStr">
        <is>
          <t>Excelファイルからの一括取込・プレビュー確認</t>
        </is>
      </c>
      <c r="F29" s="6" t="n">
        <v>16</v>
      </c>
      <c r="G29" s="6">
        <f>F29*$G$303</f>
        <v/>
      </c>
      <c r="H29" s="6" t="n">
        <v>5</v>
      </c>
      <c r="I29" s="6">
        <f>H29-2</f>
        <v/>
      </c>
      <c r="J29" s="6">
        <f>SUM(F29+I29)</f>
        <v/>
      </c>
      <c r="K29" s="5" t="inlineStr">
        <is>
          <t>NEW</t>
        </is>
      </c>
    </row>
    <row r="30">
      <c r="A30" s="5" t="n"/>
      <c r="B30" s="5" t="n"/>
      <c r="C30" s="5" t="inlineStr">
        <is>
          <t>Excelエクスポート</t>
        </is>
      </c>
      <c r="D30" s="5" t="inlineStr">
        <is>
          <t>資産マスタのExcel出力</t>
        </is>
      </c>
      <c r="F30" s="6" t="n">
        <v>12</v>
      </c>
      <c r="G30" s="6">
        <f>F30*$G$303</f>
        <v/>
      </c>
      <c r="H30" s="6" t="n">
        <v>4</v>
      </c>
      <c r="I30" s="6">
        <f>H30-2</f>
        <v/>
      </c>
      <c r="J30" s="6">
        <f>SUM(F30+I30)</f>
        <v/>
      </c>
      <c r="K30" s="5" t="inlineStr">
        <is>
          <t>NEW</t>
        </is>
      </c>
    </row>
    <row r="31">
      <c r="A31" s="5" t="n"/>
      <c r="B31" s="5" t="n"/>
      <c r="C31" s="5" t="inlineStr">
        <is>
          <t>選択モード</t>
        </is>
      </c>
      <c r="D31" s="5" t="inlineStr">
        <is>
          <t>別ウィンドウでの資産マスタ選択(他画面からの呼び出し)</t>
        </is>
      </c>
      <c r="F31" s="6" t="n">
        <v>12</v>
      </c>
      <c r="G31" s="6">
        <f>F31*$G$303</f>
        <v/>
      </c>
      <c r="H31" s="6" t="n">
        <v>4</v>
      </c>
      <c r="I31" s="6">
        <f>H31-2</f>
        <v/>
      </c>
      <c r="J31" s="6">
        <f>SUM(F31+I31)</f>
        <v/>
      </c>
      <c r="K31" s="5" t="inlineStr">
        <is>
          <t>NEW</t>
        </is>
      </c>
    </row>
    <row r="32">
      <c r="A32" s="5" t="n"/>
      <c r="B32" s="5" t="inlineStr">
        <is>
          <t>SHIP部署マスタ</t>
        </is>
      </c>
      <c r="C32" s="5" t="inlineStr">
        <is>
          <t>部署マスタ一覧</t>
        </is>
      </c>
      <c r="D32" s="5" t="inlineStr">
        <is>
          <t>部門・部署の一覧テーブル表示</t>
        </is>
      </c>
      <c r="E32" s="14" t="inlineStr">
        <is>
          <t>https://ryota-wata.github.io/medical-device-mgmt/ship-department-master</t>
        </is>
      </c>
      <c r="F32" s="6" t="n">
        <v>12</v>
      </c>
      <c r="G32" s="6">
        <f>F32*$G$303</f>
        <v/>
      </c>
      <c r="H32" s="6" t="n">
        <v>4</v>
      </c>
      <c r="I32" s="6">
        <f>H32-2</f>
        <v/>
      </c>
      <c r="J32" s="6">
        <f>SUM(F32+I32)</f>
        <v/>
      </c>
      <c r="K32" s="5" t="inlineStr">
        <is>
          <t>NEW</t>
        </is>
      </c>
    </row>
    <row r="33">
      <c r="A33" s="5" t="n"/>
      <c r="B33" s="5" t="n"/>
      <c r="C33" s="5" t="inlineStr">
        <is>
          <t>諸室区分マスタ一覧</t>
        </is>
      </c>
      <c r="D33" s="5" t="inlineStr">
        <is>
          <t>諸室区分①②の一覧テーブル表示</t>
        </is>
      </c>
      <c r="F33" s="6" t="n">
        <v>12</v>
      </c>
      <c r="G33" s="6">
        <f>F33*$G$303</f>
        <v/>
      </c>
      <c r="H33" s="6" t="n">
        <v>4</v>
      </c>
      <c r="I33" s="6">
        <f>H33-2</f>
        <v/>
      </c>
      <c r="J33" s="6">
        <f>SUM(F33+I33)</f>
        <v/>
      </c>
      <c r="K33" s="5" t="inlineStr">
        <is>
          <t>NEW</t>
        </is>
      </c>
    </row>
    <row r="34">
      <c r="A34" s="5" t="n"/>
      <c r="B34" s="5" t="n"/>
      <c r="C34" s="5" t="inlineStr">
        <is>
          <t>フィルター機能</t>
        </is>
      </c>
      <c r="D34" s="5" t="inlineStr">
        <is>
          <t>部門名・部署名フィルター</t>
        </is>
      </c>
      <c r="F34" s="6" t="n">
        <v>12</v>
      </c>
      <c r="G34" s="6">
        <f>F34*$G$303</f>
        <v/>
      </c>
      <c r="H34" s="6" t="n">
        <v>4</v>
      </c>
      <c r="I34" s="6">
        <f>H34-2</f>
        <v/>
      </c>
      <c r="J34" s="6">
        <f>SUM(F34+I34)</f>
        <v/>
      </c>
      <c r="K34" s="5" t="inlineStr">
        <is>
          <t>NEW</t>
        </is>
      </c>
    </row>
    <row r="35">
      <c r="A35" s="5" t="n"/>
      <c r="B35" s="5" t="n"/>
      <c r="C35" s="5" t="inlineStr">
        <is>
          <t>新規作成・編集・削除</t>
        </is>
      </c>
      <c r="D35" s="5" t="inlineStr">
        <is>
          <t>各テーブルのCRUD操作（インラインモーダル）</t>
        </is>
      </c>
      <c r="F35" s="6" t="n">
        <v>16</v>
      </c>
      <c r="G35" s="6">
        <f>F35*$G$303</f>
        <v/>
      </c>
      <c r="H35" s="6" t="n">
        <v>5</v>
      </c>
      <c r="I35" s="6">
        <f>H35-2</f>
        <v/>
      </c>
      <c r="J35" s="6">
        <f>SUM(F35+I35)</f>
        <v/>
      </c>
      <c r="K35" s="5" t="inlineStr">
        <is>
          <t>NEW</t>
        </is>
      </c>
    </row>
    <row r="36">
      <c r="A36" s="3" t="n"/>
      <c r="B36" s="3" t="inlineStr">
        <is>
          <t>ユーザー管理</t>
        </is>
      </c>
      <c r="C36" s="3" t="inlineStr">
        <is>
          <t>一覧表示</t>
        </is>
      </c>
      <c r="D36" s="3" t="inlineStr">
        <is>
          <t>ユーザー一覧テーブル表示</t>
        </is>
      </c>
      <c r="E36" s="14" t="inlineStr">
        <is>
          <t>https://ryota-wata.github.io/medical-device-mgmt/user-management</t>
        </is>
      </c>
      <c r="F36" s="4" t="n">
        <v>12</v>
      </c>
      <c r="G36" s="4">
        <f>F36*$G$303</f>
        <v/>
      </c>
      <c r="H36" s="4" t="n">
        <v>4</v>
      </c>
      <c r="I36" s="4">
        <f>H36-2</f>
        <v/>
      </c>
      <c r="J36" s="4">
        <f>SUM(F36+I36)</f>
        <v/>
      </c>
      <c r="K36" s="3" t="inlineStr"/>
    </row>
    <row r="37">
      <c r="A37" s="3" t="n"/>
      <c r="B37" s="3" t="n"/>
      <c r="C37" s="3" t="inlineStr">
        <is>
          <t>フィルター機能</t>
        </is>
      </c>
      <c r="D37" s="3" t="inlineStr">
        <is>
          <t>ユーザー名・メール・所属病院・ロールフィルター</t>
        </is>
      </c>
      <c r="F37" s="4" t="n">
        <v>12</v>
      </c>
      <c r="G37" s="4">
        <f>F37*$G$303</f>
        <v/>
      </c>
      <c r="H37" s="4" t="n">
        <v>4</v>
      </c>
      <c r="I37" s="4">
        <f>H37-2</f>
        <v/>
      </c>
      <c r="J37" s="4">
        <f>SUM(F37+I37)</f>
        <v/>
      </c>
      <c r="K37" s="3" t="inlineStr"/>
    </row>
    <row r="38">
      <c r="A38" s="3" t="n"/>
      <c r="B38" s="3" t="n"/>
      <c r="C38" s="3" t="inlineStr">
        <is>
          <t>新規作成モーダル</t>
        </is>
      </c>
      <c r="D38" s="3" t="inlineStr">
        <is>
          <t>ユーザー新規登録フォーム・登録処理</t>
        </is>
      </c>
      <c r="F38" s="4" t="n">
        <v>16</v>
      </c>
      <c r="G38" s="4">
        <f>F38*$G$303</f>
        <v/>
      </c>
      <c r="H38" s="4" t="n">
        <v>5</v>
      </c>
      <c r="I38" s="4">
        <f>H38-2</f>
        <v/>
      </c>
      <c r="J38" s="4">
        <f>SUM(F38+I38)</f>
        <v/>
      </c>
      <c r="K38" s="3" t="inlineStr"/>
    </row>
    <row r="39">
      <c r="A39" s="3" t="n"/>
      <c r="B39" s="3" t="n"/>
      <c r="C39" s="3" t="inlineStr">
        <is>
          <t>編集モーダル</t>
        </is>
      </c>
      <c r="D39" s="3" t="inlineStr">
        <is>
          <t>ユーザー編集フォーム・編集処理</t>
        </is>
      </c>
      <c r="F39" s="4" t="n">
        <v>12</v>
      </c>
      <c r="G39" s="4">
        <f>F39*$G$303</f>
        <v/>
      </c>
      <c r="H39" s="4" t="n">
        <v>4</v>
      </c>
      <c r="I39" s="4">
        <f>H39-2</f>
        <v/>
      </c>
      <c r="J39" s="4">
        <f>SUM(F39+I39)</f>
        <v/>
      </c>
      <c r="K39" s="3" t="inlineStr"/>
    </row>
    <row r="40">
      <c r="A40" s="3" t="n"/>
      <c r="B40" s="3" t="n"/>
      <c r="C40" s="3" t="inlineStr">
        <is>
          <t>削除機能</t>
        </is>
      </c>
      <c r="D40" s="3" t="inlineStr">
        <is>
          <t>削除確認ポップアップ・削除処理</t>
        </is>
      </c>
      <c r="F40" s="4" t="n">
        <v>8</v>
      </c>
      <c r="G40" s="4">
        <f>F40*$G$303</f>
        <v/>
      </c>
      <c r="H40" s="4" t="n">
        <v>2.5</v>
      </c>
      <c r="I40" s="4">
        <f>H40-2</f>
        <v/>
      </c>
      <c r="J40" s="4">
        <f>SUM(F40+I40)</f>
        <v/>
      </c>
      <c r="K40" s="3" t="inlineStr"/>
    </row>
    <row r="41">
      <c r="A41" s="3" t="n"/>
      <c r="B41" s="3" t="inlineStr">
        <is>
          <t>個別施設マスタ</t>
        </is>
      </c>
      <c r="C41" s="3" t="inlineStr">
        <is>
          <t>一覧表示</t>
        </is>
      </c>
      <c r="D41" s="3" t="inlineStr">
        <is>
          <t>施設マッピング一覧表示（現状→新居）</t>
        </is>
      </c>
      <c r="E41" s="14" t="inlineStr">
        <is>
          <t>https://ryota-wata.github.io/medical-device-mgmt/hospital-facility-master</t>
        </is>
      </c>
      <c r="F41" s="4" t="n">
        <v>12</v>
      </c>
      <c r="G41" s="4">
        <f>F41*$G$303</f>
        <v/>
      </c>
      <c r="H41" s="4" t="n">
        <v>4</v>
      </c>
      <c r="I41" s="4">
        <f>H41-2</f>
        <v/>
      </c>
      <c r="J41" s="4">
        <f>SUM(F41+I41)</f>
        <v/>
      </c>
      <c r="K41" s="3" t="inlineStr"/>
    </row>
    <row r="42">
      <c r="A42" s="3" t="n"/>
      <c r="B42" s="3" t="n"/>
      <c r="C42" s="3" t="inlineStr">
        <is>
          <t>フィルター機能</t>
        </is>
      </c>
      <c r="D42" s="3" t="inlineStr">
        <is>
          <t>階・部門・部署・室名フィルター</t>
        </is>
      </c>
      <c r="F42" s="4" t="n">
        <v>12</v>
      </c>
      <c r="G42" s="4">
        <f>F42*$G$303</f>
        <v/>
      </c>
      <c r="H42" s="4" t="n">
        <v>4</v>
      </c>
      <c r="I42" s="4">
        <f>H42-2</f>
        <v/>
      </c>
      <c r="J42" s="4">
        <f>SUM(F42+I42)</f>
        <v/>
      </c>
      <c r="K42" s="3" t="inlineStr"/>
    </row>
    <row r="43">
      <c r="A43" s="3" t="n"/>
      <c r="B43" s="3" t="n"/>
      <c r="C43" s="3" t="inlineStr">
        <is>
          <t>新規作成モーダル</t>
        </is>
      </c>
      <c r="D43" s="3" t="inlineStr">
        <is>
          <t>現状→新居マッピング登録</t>
        </is>
      </c>
      <c r="F43" s="4" t="n">
        <v>16</v>
      </c>
      <c r="G43" s="4">
        <f>F43*$G$303</f>
        <v/>
      </c>
      <c r="H43" s="4" t="n">
        <v>5</v>
      </c>
      <c r="I43" s="4">
        <f>H43-2</f>
        <v/>
      </c>
      <c r="J43" s="4">
        <f>SUM(F43+I43)</f>
        <v/>
      </c>
      <c r="K43" s="3" t="inlineStr"/>
    </row>
    <row r="44">
      <c r="A44" s="3" t="n"/>
      <c r="B44" s="3" t="n"/>
      <c r="C44" s="3" t="inlineStr">
        <is>
          <t>編集モーダル</t>
        </is>
      </c>
      <c r="D44" s="3" t="inlineStr">
        <is>
          <t>マッピング編集フォーム</t>
        </is>
      </c>
      <c r="F44" s="4" t="n">
        <v>12</v>
      </c>
      <c r="G44" s="4">
        <f>F44*$G$303</f>
        <v/>
      </c>
      <c r="H44" s="4" t="n">
        <v>4</v>
      </c>
      <c r="I44" s="4">
        <f>H44-2</f>
        <v/>
      </c>
      <c r="J44" s="4">
        <f>SUM(F44+I44)</f>
        <v/>
      </c>
      <c r="K44" s="3" t="inlineStr"/>
    </row>
    <row r="45">
      <c r="A45" s="3" t="n"/>
      <c r="B45" s="3" t="n"/>
      <c r="C45" s="3" t="inlineStr">
        <is>
          <t>削除機能</t>
        </is>
      </c>
      <c r="D45" s="3" t="inlineStr">
        <is>
          <t>削除確認ポップアップ・削除処理</t>
        </is>
      </c>
      <c r="F45" s="4" t="n">
        <v>8</v>
      </c>
      <c r="G45" s="4">
        <f>F45*$G$303</f>
        <v/>
      </c>
      <c r="H45" s="4" t="n">
        <v>2.5</v>
      </c>
      <c r="I45" s="4">
        <f>H45-2</f>
        <v/>
      </c>
      <c r="J45" s="4">
        <f>SUM(F45+I45)</f>
        <v/>
      </c>
      <c r="K45" s="3" t="inlineStr"/>
    </row>
    <row r="46">
      <c r="A46" s="5" t="n"/>
      <c r="B46" s="5" t="n"/>
      <c r="C46" s="5" t="inlineStr">
        <is>
          <t>Excelインポート</t>
        </is>
      </c>
      <c r="D46" s="5" t="inlineStr">
        <is>
          <t>Excelファイルからの一括取込・プレビュー確認</t>
        </is>
      </c>
      <c r="F46" s="6" t="n">
        <v>16</v>
      </c>
      <c r="G46" s="6">
        <f>F46*$G$303</f>
        <v/>
      </c>
      <c r="H46" s="6" t="n">
        <v>5</v>
      </c>
      <c r="I46" s="6">
        <f>H46-2</f>
        <v/>
      </c>
      <c r="J46" s="6">
        <f>SUM(F46+I46)</f>
        <v/>
      </c>
      <c r="K46" s="5" t="inlineStr">
        <is>
          <t>NEW</t>
        </is>
      </c>
    </row>
    <row r="47">
      <c r="A47" s="5" t="n"/>
      <c r="B47" s="5" t="n"/>
      <c r="C47" s="5" t="inlineStr">
        <is>
          <t>Excelエクスポート</t>
        </is>
      </c>
      <c r="D47" s="5" t="inlineStr">
        <is>
          <t>施設マッピングのExcel出力</t>
        </is>
      </c>
      <c r="F47" s="6" t="n">
        <v>12</v>
      </c>
      <c r="G47" s="6">
        <f>F47*$G$303</f>
        <v/>
      </c>
      <c r="H47" s="6" t="n">
        <v>4</v>
      </c>
      <c r="I47" s="6">
        <f>H47-2</f>
        <v/>
      </c>
      <c r="J47" s="6">
        <f>SUM(F47+I47)</f>
        <v/>
      </c>
      <c r="K47" s="5" t="inlineStr">
        <is>
          <t>NEW</t>
        </is>
      </c>
    </row>
    <row r="48">
      <c r="A48" s="5" t="n"/>
      <c r="B48" s="5" t="inlineStr">
        <is>
          <t>業者マスタ</t>
        </is>
      </c>
      <c r="C48" s="5" t="inlineStr">
        <is>
          <t>一覧表示</t>
        </is>
      </c>
      <c r="D48" s="5" t="inlineStr">
        <is>
          <t>業者一覧テーブル表示</t>
        </is>
      </c>
      <c r="E48" s="14" t="inlineStr">
        <is>
          <t>https://ryota-wata.github.io/medical-device-mgmt/vendor-master</t>
        </is>
      </c>
      <c r="F48" s="6" t="n">
        <v>12</v>
      </c>
      <c r="G48" s="6">
        <f>F48*$G$303</f>
        <v/>
      </c>
      <c r="H48" s="6" t="n">
        <v>4</v>
      </c>
      <c r="I48" s="6">
        <f>H48-2</f>
        <v/>
      </c>
      <c r="J48" s="6">
        <f>SUM(F48+I48)</f>
        <v/>
      </c>
      <c r="K48" s="5" t="inlineStr">
        <is>
          <t>NEW</t>
        </is>
      </c>
    </row>
    <row r="49">
      <c r="A49" s="5" t="n"/>
      <c r="B49" s="5" t="n"/>
      <c r="C49" s="5" t="inlineStr">
        <is>
          <t>フィルター機能</t>
        </is>
      </c>
      <c r="D49" s="5" t="inlineStr">
        <is>
          <t>施設名・業者名・キーワードフィルター</t>
        </is>
      </c>
      <c r="F49" s="6" t="n">
        <v>12</v>
      </c>
      <c r="G49" s="6">
        <f>F49*$G$303</f>
        <v/>
      </c>
      <c r="H49" s="6" t="n">
        <v>4</v>
      </c>
      <c r="I49" s="6">
        <f>H49-2</f>
        <v/>
      </c>
      <c r="J49" s="6">
        <f>SUM(F49+I49)</f>
        <v/>
      </c>
      <c r="K49" s="5" t="inlineStr">
        <is>
          <t>NEW</t>
        </is>
      </c>
    </row>
    <row r="50">
      <c r="A50" s="5" t="n"/>
      <c r="B50" s="5" t="n"/>
      <c r="C50" s="5" t="inlineStr">
        <is>
          <t>新規作成モーダル</t>
        </is>
      </c>
      <c r="D50" s="5" t="inlineStr">
        <is>
          <t>業者新規登録フォーム（インボイス番号・連絡先等）</t>
        </is>
      </c>
      <c r="F50" s="6" t="n">
        <v>16</v>
      </c>
      <c r="G50" s="6">
        <f>F50*$G$303</f>
        <v/>
      </c>
      <c r="H50" s="6" t="n">
        <v>5</v>
      </c>
      <c r="I50" s="6">
        <f>H50-2</f>
        <v/>
      </c>
      <c r="J50" s="6">
        <f>SUM(F50+I50)</f>
        <v/>
      </c>
      <c r="K50" s="5" t="inlineStr">
        <is>
          <t>NEW</t>
        </is>
      </c>
    </row>
    <row r="51">
      <c r="A51" s="5" t="n"/>
      <c r="B51" s="5" t="n"/>
      <c r="C51" s="5" t="inlineStr">
        <is>
          <t>編集モーダル</t>
        </is>
      </c>
      <c r="D51" s="5" t="inlineStr">
        <is>
          <t>業者編集フォーム・編集処理</t>
        </is>
      </c>
      <c r="F51" s="6" t="n">
        <v>12</v>
      </c>
      <c r="G51" s="6">
        <f>F51*$G$303</f>
        <v/>
      </c>
      <c r="H51" s="6" t="n">
        <v>4</v>
      </c>
      <c r="I51" s="6">
        <f>H51-2</f>
        <v/>
      </c>
      <c r="J51" s="6">
        <f>SUM(F51+I51)</f>
        <v/>
      </c>
      <c r="K51" s="5" t="inlineStr">
        <is>
          <t>NEW</t>
        </is>
      </c>
    </row>
    <row r="52">
      <c r="A52" s="5" t="n"/>
      <c r="B52" s="5" t="n"/>
      <c r="C52" s="5" t="inlineStr">
        <is>
          <t>削除機能</t>
        </is>
      </c>
      <c r="D52" s="5" t="inlineStr">
        <is>
          <t>削除確認ポップアップ・削除処理</t>
        </is>
      </c>
      <c r="F52" s="6" t="n">
        <v>8</v>
      </c>
      <c r="G52" s="6">
        <f>F52*$G$303</f>
        <v/>
      </c>
      <c r="H52" s="6" t="n">
        <v>2.5</v>
      </c>
      <c r="I52" s="6">
        <f>H52-2</f>
        <v/>
      </c>
      <c r="J52" s="6">
        <f>SUM(F52+I52)</f>
        <v/>
      </c>
      <c r="K52" s="5" t="inlineStr">
        <is>
          <t>NEW</t>
        </is>
      </c>
    </row>
    <row r="53">
      <c r="A53" s="3" t="n"/>
      <c r="B53" s="3" t="inlineStr">
        <is>
          <t>ドキュメントマスタ</t>
        </is>
      </c>
      <c r="C53" s="3" t="inlineStr">
        <is>
          <t>一覧表示</t>
        </is>
      </c>
      <c r="D53" s="3" t="inlineStr">
        <is>
          <t>ドキュメント一覧表示</t>
        </is>
      </c>
      <c r="F53" s="4" t="n">
        <v>18</v>
      </c>
      <c r="G53" s="4">
        <f>F53*$G$303</f>
        <v/>
      </c>
      <c r="H53" s="4" t="n">
        <v>6.5</v>
      </c>
      <c r="I53" s="4">
        <f>H53-2</f>
        <v/>
      </c>
      <c r="J53" s="4">
        <f>SUM(F53+I53)</f>
        <v/>
      </c>
      <c r="K53" s="3" t="inlineStr"/>
    </row>
    <row r="54">
      <c r="A54" s="3" t="n"/>
      <c r="B54" s="3" t="n"/>
      <c r="C54" s="3" t="inlineStr">
        <is>
          <t>フィルター機能</t>
        </is>
      </c>
      <c r="D54" s="3" t="inlineStr">
        <is>
          <t>ドキュメント種別フィルター</t>
        </is>
      </c>
      <c r="F54" s="4" t="n">
        <v>12</v>
      </c>
      <c r="G54" s="4">
        <f>F54*$G$303</f>
        <v/>
      </c>
      <c r="H54" s="4" t="n">
        <v>4</v>
      </c>
      <c r="I54" s="4">
        <f>H54-2</f>
        <v/>
      </c>
      <c r="J54" s="4">
        <f>SUM(F54+I54)</f>
        <v/>
      </c>
      <c r="K54" s="3" t="inlineStr"/>
    </row>
    <row r="55">
      <c r="A55" s="3" t="n"/>
      <c r="B55" s="3" t="n"/>
      <c r="C55" s="3" t="inlineStr">
        <is>
          <t>ドキュメントアップロード</t>
        </is>
      </c>
      <c r="D55" s="3" t="inlineStr">
        <is>
          <t>PDFアップロード機能</t>
        </is>
      </c>
      <c r="F55" s="4" t="n">
        <v>16</v>
      </c>
      <c r="G55" s="4">
        <f>F55*$G$303</f>
        <v/>
      </c>
      <c r="H55" s="4" t="n">
        <v>5</v>
      </c>
      <c r="I55" s="4">
        <f>H55-2</f>
        <v/>
      </c>
      <c r="J55" s="4">
        <f>SUM(F55+I55)</f>
        <v/>
      </c>
      <c r="K55" s="3" t="inlineStr"/>
    </row>
    <row r="56">
      <c r="A56" s="3" t="n"/>
      <c r="B56" s="3" t="n"/>
      <c r="C56" s="3" t="inlineStr">
        <is>
          <t>削除機能</t>
        </is>
      </c>
      <c r="D56" s="3" t="inlineStr">
        <is>
          <t>削除確認ポップアップ・削除処理</t>
        </is>
      </c>
      <c r="F56" s="4" t="n">
        <v>8</v>
      </c>
      <c r="G56" s="4">
        <f>F56*$G$303</f>
        <v/>
      </c>
      <c r="H56" s="4" t="n">
        <v>2.5</v>
      </c>
      <c r="I56" s="4">
        <f>H56-2</f>
        <v/>
      </c>
      <c r="J56" s="4">
        <f>SUM(F56+I56)</f>
        <v/>
      </c>
      <c r="K56" s="3" t="inlineStr"/>
    </row>
    <row r="57">
      <c r="A57" s="2" t="inlineStr">
        <is>
          <t>ラベル管理</t>
        </is>
      </c>
      <c r="B57" s="3" t="inlineStr">
        <is>
          <t>ラベル発行</t>
        </is>
      </c>
      <c r="C57" s="3" t="inlineStr">
        <is>
          <t>新規発行タブ</t>
        </is>
      </c>
      <c r="D57" s="3" t="inlineStr">
        <is>
          <t>ラベル新規発行フォーム</t>
        </is>
      </c>
      <c r="E57" s="14" t="inlineStr">
        <is>
          <t>https://ryota-wata.github.io/medical-device-mgmt/qr-issue</t>
        </is>
      </c>
      <c r="F57" s="4" t="n">
        <v>16</v>
      </c>
      <c r="G57" s="4">
        <f>F57*$G$303</f>
        <v/>
      </c>
      <c r="H57" s="4" t="n">
        <v>5</v>
      </c>
      <c r="I57" s="4">
        <f>H57-2</f>
        <v/>
      </c>
      <c r="J57" s="4">
        <f>SUM(F57+I57)</f>
        <v/>
      </c>
      <c r="K57" s="3" t="inlineStr"/>
    </row>
    <row r="58">
      <c r="A58" s="3" t="n"/>
      <c r="B58" s="3" t="n"/>
      <c r="C58" s="3" t="inlineStr">
        <is>
          <t>再発行タブ</t>
        </is>
      </c>
      <c r="D58" s="3" t="inlineStr">
        <is>
          <t>ラベル再発行フォーム</t>
        </is>
      </c>
      <c r="F58" s="4" t="n">
        <v>16</v>
      </c>
      <c r="G58" s="4">
        <f>F58*$G$303</f>
        <v/>
      </c>
      <c r="H58" s="4" t="n">
        <v>5</v>
      </c>
      <c r="I58" s="4">
        <f>H58-2</f>
        <v/>
      </c>
      <c r="J58" s="4">
        <f>SUM(F58+I58)</f>
        <v/>
      </c>
      <c r="K58" s="3" t="inlineStr"/>
    </row>
    <row r="59">
      <c r="A59" s="3" t="n"/>
      <c r="B59" s="3" t="n"/>
      <c r="C59" s="3" t="inlineStr">
        <is>
          <t>番号範囲指定</t>
        </is>
      </c>
      <c r="D59" s="3" t="inlineStr">
        <is>
          <t>発行番号範囲の指定</t>
        </is>
      </c>
      <c r="F59" s="4" t="n">
        <v>12</v>
      </c>
      <c r="G59" s="4">
        <f>F59*$G$303</f>
        <v/>
      </c>
      <c r="H59" s="4" t="n">
        <v>4</v>
      </c>
      <c r="I59" s="4">
        <f>H59-2</f>
        <v/>
      </c>
      <c r="J59" s="4">
        <f>SUM(F59+I59)</f>
        <v/>
      </c>
      <c r="K59" s="3" t="inlineStr"/>
    </row>
    <row r="60">
      <c r="A60" s="3" t="n"/>
      <c r="B60" s="3" t="n"/>
      <c r="C60" s="3" t="inlineStr">
        <is>
          <t>テンプレート選択</t>
        </is>
      </c>
      <c r="D60" s="3" t="inlineStr">
        <is>
          <t>QR/バーコードテンプレート選択</t>
        </is>
      </c>
      <c r="F60" s="4" t="n">
        <v>12</v>
      </c>
      <c r="G60" s="4">
        <f>F60*$G$303</f>
        <v/>
      </c>
      <c r="H60" s="4" t="n">
        <v>4</v>
      </c>
      <c r="I60" s="4">
        <f>H60-2</f>
        <v/>
      </c>
      <c r="J60" s="4">
        <f>SUM(F60+I60)</f>
        <v/>
      </c>
      <c r="K60" s="3" t="inlineStr"/>
    </row>
    <row r="61">
      <c r="A61" s="3" t="n"/>
      <c r="B61" s="3" t="n"/>
      <c r="C61" s="3" t="inlineStr">
        <is>
          <t>フッター文字入力</t>
        </is>
      </c>
      <c r="D61" s="3" t="inlineStr">
        <is>
          <t>ラベルフッター文字設定</t>
        </is>
      </c>
      <c r="F61" s="4" t="n">
        <v>12</v>
      </c>
      <c r="G61" s="4">
        <f>F61*$G$303</f>
        <v/>
      </c>
      <c r="H61" s="4" t="n">
        <v>4</v>
      </c>
      <c r="I61" s="4">
        <f>H61-2</f>
        <v/>
      </c>
      <c r="J61" s="4">
        <f>SUM(F61+I61)</f>
        <v/>
      </c>
      <c r="K61" s="3" t="inlineStr"/>
    </row>
    <row r="62">
      <c r="A62" s="3" t="n"/>
      <c r="B62" s="3" t="n"/>
      <c r="C62" s="3" t="inlineStr">
        <is>
          <t>発行番号計算</t>
        </is>
      </c>
      <c r="D62" s="3" t="inlineStr">
        <is>
          <t>発行予定番号の自動計算(複数枚発行時)</t>
        </is>
      </c>
      <c r="F62" s="4" t="n">
        <v>16</v>
      </c>
      <c r="G62" s="4">
        <f>F62*$G$303</f>
        <v/>
      </c>
      <c r="H62" s="4" t="n">
        <v>5</v>
      </c>
      <c r="I62" s="4">
        <f>H62-2</f>
        <v/>
      </c>
      <c r="J62" s="4">
        <f>SUM(F62+I62)</f>
        <v/>
      </c>
      <c r="K62" s="3" t="inlineStr"/>
    </row>
    <row r="63">
      <c r="A63" s="3" t="n"/>
      <c r="B63" s="3" t="inlineStr">
        <is>
          <t>ラベル印刷</t>
        </is>
      </c>
      <c r="C63" s="3" t="inlineStr">
        <is>
          <t>ラベル番号リスト生成</t>
        </is>
      </c>
      <c r="D63" s="3" t="inlineStr">
        <is>
          <t>印刷対象ラベル番号リスト生成</t>
        </is>
      </c>
      <c r="E63" s="14" t="inlineStr">
        <is>
          <t>https://ryota-wata.github.io/medical-device-mgmt/qr-print</t>
        </is>
      </c>
      <c r="F63" s="4" t="n">
        <v>12</v>
      </c>
      <c r="G63" s="4">
        <f>F63*$G$303</f>
        <v/>
      </c>
      <c r="H63" s="4" t="n">
        <v>4</v>
      </c>
      <c r="I63" s="4">
        <f>H63-2</f>
        <v/>
      </c>
      <c r="J63" s="4">
        <f>SUM(F63+I63)</f>
        <v/>
      </c>
      <c r="K63" s="3" t="inlineStr"/>
    </row>
    <row r="64">
      <c r="A64" s="3" t="n"/>
      <c r="B64" s="3" t="n"/>
      <c r="C64" s="3" t="inlineStr">
        <is>
          <t>プリンター連携・選択</t>
        </is>
      </c>
      <c r="D64" s="3" t="inlineStr">
        <is>
          <t>出力プリンター連携・選択</t>
        </is>
      </c>
      <c r="F64" s="4" t="n">
        <v>16</v>
      </c>
      <c r="G64" s="4">
        <f>F64*$G$303</f>
        <v/>
      </c>
      <c r="H64" s="4" t="n">
        <v>5</v>
      </c>
      <c r="I64" s="4">
        <f>H64-2</f>
        <v/>
      </c>
      <c r="J64" s="4">
        <f>SUM(F64+I64)</f>
        <v/>
      </c>
      <c r="K64" s="3" t="inlineStr"/>
    </row>
    <row r="65">
      <c r="A65" s="3" t="n"/>
      <c r="B65" s="3" t="n"/>
      <c r="C65" s="3" t="inlineStr">
        <is>
          <t>プレビュー表示</t>
        </is>
      </c>
      <c r="D65" s="3" t="inlineStr">
        <is>
          <t>印刷プレビュー表示</t>
        </is>
      </c>
      <c r="F65" s="4" t="n">
        <v>16</v>
      </c>
      <c r="G65" s="4">
        <f>F65*$G$303</f>
        <v/>
      </c>
      <c r="H65" s="4" t="n">
        <v>5</v>
      </c>
      <c r="I65" s="4">
        <f>H65-2</f>
        <v/>
      </c>
      <c r="J65" s="4">
        <f>SUM(F65+I65)</f>
        <v/>
      </c>
      <c r="K65" s="3" t="inlineStr"/>
    </row>
    <row r="66">
      <c r="A66" s="3" t="n"/>
      <c r="B66" s="3" t="n"/>
      <c r="C66" s="3" t="inlineStr">
        <is>
          <t>印刷実行</t>
        </is>
      </c>
      <c r="D66" s="3" t="inlineStr">
        <is>
          <t>印刷処理実行</t>
        </is>
      </c>
      <c r="F66" s="4" t="n">
        <v>16</v>
      </c>
      <c r="G66" s="4">
        <f>F66*$G$303</f>
        <v/>
      </c>
      <c r="H66" s="4" t="n">
        <v>5</v>
      </c>
      <c r="I66" s="4">
        <f>H66-2</f>
        <v/>
      </c>
      <c r="J66" s="4">
        <f>SUM(F66+I66)</f>
        <v/>
      </c>
      <c r="K66" s="3" t="inlineStr"/>
    </row>
    <row r="67">
      <c r="A67" s="2" t="inlineStr">
        <is>
          <t>現有品調査</t>
        </is>
      </c>
      <c r="B67" s="3" t="inlineStr">
        <is>
          <t>オフライン準備</t>
        </is>
      </c>
      <c r="C67" s="3" t="inlineStr">
        <is>
          <t>マスタダウンロード</t>
        </is>
      </c>
      <c r="D67" s="3" t="inlineStr">
        <is>
          <t>マスタデータのデバイス保存</t>
        </is>
      </c>
      <c r="E67" s="14" t="inlineStr">
        <is>
          <t>https://ryota-wata.github.io/medical-device-mgmt/offline-prep</t>
        </is>
      </c>
      <c r="F67" s="4" t="n">
        <v>16</v>
      </c>
      <c r="G67" s="4">
        <f>F67*$G$303</f>
        <v/>
      </c>
      <c r="H67" s="4" t="n">
        <v>5</v>
      </c>
      <c r="I67" s="4">
        <f>H67-2</f>
        <v/>
      </c>
      <c r="J67" s="4">
        <f>SUM(F67+I67)</f>
        <v/>
      </c>
      <c r="K67" s="3" t="inlineStr"/>
    </row>
    <row r="68">
      <c r="A68" s="3" t="n"/>
      <c r="B68" s="3" t="n"/>
      <c r="C68" s="3" t="inlineStr">
        <is>
          <t>ダウンロード状態表示</t>
        </is>
      </c>
      <c r="D68" s="3" t="inlineStr">
        <is>
          <t>ダウンロード進捗・完了表示</t>
        </is>
      </c>
      <c r="F68" s="4" t="n">
        <v>16</v>
      </c>
      <c r="G68" s="4">
        <f>F68*$G$303</f>
        <v/>
      </c>
      <c r="H68" s="4" t="n">
        <v>5</v>
      </c>
      <c r="I68" s="4">
        <f>H68-2</f>
        <v/>
      </c>
      <c r="J68" s="4">
        <f>SUM(F68+I68)</f>
        <v/>
      </c>
      <c r="K68" s="3" t="inlineStr"/>
    </row>
    <row r="69">
      <c r="A69" s="3" t="n"/>
      <c r="B69" s="3" t="n"/>
      <c r="C69" s="3" t="inlineStr">
        <is>
          <t>データ送信</t>
        </is>
      </c>
      <c r="D69" s="3" t="inlineStr">
        <is>
          <t>未送信データのサーバー送信</t>
        </is>
      </c>
      <c r="F69" s="4" t="n">
        <v>12</v>
      </c>
      <c r="G69" s="4">
        <f>F69*$G$303</f>
        <v/>
      </c>
      <c r="H69" s="4" t="n">
        <v>4</v>
      </c>
      <c r="I69" s="4">
        <f>H69-2</f>
        <v/>
      </c>
      <c r="J69" s="4">
        <f>SUM(F69+I69)</f>
        <v/>
      </c>
      <c r="K69" s="3" t="inlineStr"/>
    </row>
    <row r="70">
      <c r="A70" s="3" t="n"/>
      <c r="B70" s="3" t="n"/>
      <c r="C70" s="3" t="inlineStr">
        <is>
          <t>接続状態表示</t>
        </is>
      </c>
      <c r="D70" s="3" t="inlineStr">
        <is>
          <t>オンライン/オフライン状態表示</t>
        </is>
      </c>
      <c r="F70" s="4" t="n">
        <v>12</v>
      </c>
      <c r="G70" s="4">
        <f>F70*$G$303</f>
        <v/>
      </c>
      <c r="H70" s="4" t="n">
        <v>4</v>
      </c>
      <c r="I70" s="4">
        <f>H70-2</f>
        <v/>
      </c>
      <c r="J70" s="4">
        <f>SUM(F70+I70)</f>
        <v/>
      </c>
      <c r="K70" s="3" t="inlineStr"/>
    </row>
    <row r="71">
      <c r="A71" s="3" t="n"/>
      <c r="B71" s="3" t="inlineStr">
        <is>
          <t>調査準備</t>
        </is>
      </c>
      <c r="C71" s="3" t="inlineStr">
        <is>
          <t>調査日表示</t>
        </is>
      </c>
      <c r="D71" s="3" t="inlineStr">
        <is>
          <t>調査実施日(本日)の表示</t>
        </is>
      </c>
      <c r="E71" s="14" t="inlineStr">
        <is>
          <t>https://ryota-wata.github.io/medical-device-mgmt/survey-location</t>
        </is>
      </c>
      <c r="F71" s="4" t="n">
        <v>12</v>
      </c>
      <c r="G71" s="4">
        <f>F71*$G$303</f>
        <v/>
      </c>
      <c r="H71" s="4" t="n">
        <v>4</v>
      </c>
      <c r="I71" s="4">
        <f>H71-2</f>
        <v/>
      </c>
      <c r="J71" s="4">
        <f>SUM(F71+I71)</f>
        <v/>
      </c>
      <c r="K71" s="3" t="inlineStr"/>
    </row>
    <row r="72">
      <c r="A72" s="3" t="n"/>
      <c r="B72" s="3" t="n"/>
      <c r="C72" s="3" t="inlineStr">
        <is>
          <t>施設情報選択</t>
        </is>
      </c>
      <c r="D72" s="3" t="inlineStr">
        <is>
          <t>棟・階・部門・部署のドロップダウン選択(SHIP施設マスタ)・曖昧検索・フリー入力・親子関係自動更新</t>
        </is>
      </c>
      <c r="F72" s="4" t="n">
        <v>12</v>
      </c>
      <c r="G72" s="4">
        <f>F72*$G$303</f>
        <v/>
      </c>
      <c r="H72" s="4" t="n">
        <v>4</v>
      </c>
      <c r="I72" s="4">
        <f>H72-2</f>
        <v/>
      </c>
      <c r="J72" s="4">
        <f>SUM(F72+I72)</f>
        <v/>
      </c>
      <c r="K72" s="3" t="inlineStr"/>
    </row>
    <row r="73">
      <c r="A73" s="3" t="n"/>
      <c r="B73" s="3" t="n"/>
      <c r="C73" s="3" t="inlineStr">
        <is>
          <t>Category選択</t>
        </is>
      </c>
      <c r="D73" s="3" t="inlineStr">
        <is>
          <t>調査対象のドロップダウンカテゴリー選択(SHIP資産マスタ)・曖昧検索・フリー入力・親子関係自動更新</t>
        </is>
      </c>
      <c r="F73" s="4" t="n">
        <v>12</v>
      </c>
      <c r="G73" s="4">
        <f>F73*$G$303</f>
        <v/>
      </c>
      <c r="H73" s="4" t="n">
        <v>4</v>
      </c>
      <c r="I73" s="4">
        <f>H73-2</f>
        <v/>
      </c>
      <c r="J73" s="4">
        <f>SUM(F73+I73)</f>
        <v/>
      </c>
      <c r="K73" s="3" t="inlineStr"/>
    </row>
    <row r="74">
      <c r="A74" s="3" t="n"/>
      <c r="B74" s="3" t="inlineStr">
        <is>
          <t>資産詳細入力</t>
        </is>
      </c>
      <c r="C74" s="3" t="inlineStr">
        <is>
          <t>固定ヘッダー</t>
        </is>
      </c>
      <c r="D74" s="3" t="inlineStr">
        <is>
          <t>ラベル番号・室名の固定ヘッダー</t>
        </is>
      </c>
      <c r="E74" s="14" t="inlineStr">
        <is>
          <t>https://ryota-wata.github.io/medical-device-mgmt/asset-survey</t>
        </is>
      </c>
      <c r="F74" s="4" t="n">
        <v>12</v>
      </c>
      <c r="G74" s="4">
        <f>F74*$G$303</f>
        <v/>
      </c>
      <c r="H74" s="4" t="n">
        <v>4</v>
      </c>
      <c r="I74" s="4">
        <f>H74-2</f>
        <v/>
      </c>
      <c r="J74" s="4">
        <f>SUM(F74+I74)</f>
        <v/>
      </c>
      <c r="K74" s="3" t="inlineStr"/>
    </row>
    <row r="75">
      <c r="A75" s="3" t="n"/>
      <c r="B75" s="3" t="n"/>
      <c r="C75" s="3" t="inlineStr">
        <is>
          <t>ラベル番号入力</t>
        </is>
      </c>
      <c r="D75" s="3" t="inlineStr">
        <is>
          <t>ラベル番号入力フォーム・初期入力後の連番自動表示</t>
        </is>
      </c>
      <c r="F75" s="4" t="n">
        <v>12</v>
      </c>
      <c r="G75" s="4">
        <f>F75*$G$303</f>
        <v/>
      </c>
      <c r="H75" s="4" t="n">
        <v>4</v>
      </c>
      <c r="I75" s="4">
        <f>H75-2</f>
        <v/>
      </c>
      <c r="J75" s="4">
        <f>SUM(F75+I75)</f>
        <v/>
      </c>
      <c r="K75" s="3" t="inlineStr"/>
    </row>
    <row r="76">
      <c r="A76" s="3" t="n"/>
      <c r="B76" s="3" t="n"/>
      <c r="C76" s="3" t="inlineStr">
        <is>
          <t>室名入力</t>
        </is>
      </c>
      <c r="D76" s="3" t="inlineStr">
        <is>
          <t>室名入力フォーム</t>
        </is>
      </c>
      <c r="F76" s="4" t="n">
        <v>12</v>
      </c>
      <c r="G76" s="4">
        <f>F76*$G$303</f>
        <v/>
      </c>
      <c r="H76" s="4" t="n">
        <v>4</v>
      </c>
      <c r="I76" s="4">
        <f>H76-2</f>
        <v/>
      </c>
      <c r="J76" s="4">
        <f>SUM(F76+I76)</f>
        <v/>
      </c>
      <c r="K76" s="3" t="inlineStr"/>
    </row>
    <row r="77">
      <c r="A77" s="3" t="n"/>
      <c r="B77" s="3" t="n"/>
      <c r="C77" s="3" t="inlineStr">
        <is>
          <t>ラベル読取</t>
        </is>
      </c>
      <c r="D77" s="3" t="inlineStr">
        <is>
          <t>QRコード/バーコードスキャン機能</t>
        </is>
      </c>
      <c r="F77" s="4" t="n">
        <v>12</v>
      </c>
      <c r="G77" s="4">
        <f>F77*$G$303</f>
        <v/>
      </c>
      <c r="H77" s="4" t="n">
        <v>4</v>
      </c>
      <c r="I77" s="4">
        <f>H77-2</f>
        <v/>
      </c>
      <c r="J77" s="4">
        <f>SUM(F77+I77)</f>
        <v/>
      </c>
      <c r="K77" s="3" t="inlineStr"/>
    </row>
    <row r="78">
      <c r="A78" s="3" t="n"/>
      <c r="B78" s="3" t="n"/>
      <c r="C78" s="3" t="inlineStr">
        <is>
          <t>写真撮影</t>
        </is>
      </c>
      <c r="D78" s="3" t="inlineStr">
        <is>
          <t>カメラ撮影・画像保存</t>
        </is>
      </c>
      <c r="F78" s="4" t="n">
        <v>16</v>
      </c>
      <c r="G78" s="4">
        <f>F78*$G$303</f>
        <v/>
      </c>
      <c r="H78" s="4" t="n">
        <v>5</v>
      </c>
      <c r="I78" s="4">
        <f>H78-2</f>
        <v/>
      </c>
      <c r="J78" s="4">
        <f>SUM(F78+I78)</f>
        <v/>
      </c>
      <c r="K78" s="3" t="inlineStr"/>
    </row>
    <row r="79">
      <c r="A79" s="3" t="n"/>
      <c r="B79" s="3" t="n"/>
      <c r="C79" s="3" t="inlineStr">
        <is>
          <t>資産情報入力フォーム</t>
        </is>
      </c>
      <c r="D79" s="3" t="inlineStr">
        <is>
          <t>資産番号・シリアルNo等入力・画像解析</t>
        </is>
      </c>
      <c r="F79" s="4" t="n">
        <v>12</v>
      </c>
      <c r="G79" s="4">
        <f>F79*$G$303</f>
        <v/>
      </c>
      <c r="H79" s="4" t="n">
        <v>4</v>
      </c>
      <c r="I79" s="4">
        <f>H79-2</f>
        <v/>
      </c>
      <c r="J79" s="4">
        <f>SUM(F79+I79)</f>
        <v/>
      </c>
      <c r="K79" s="3" t="inlineStr"/>
    </row>
    <row r="80">
      <c r="A80" s="3" t="n"/>
      <c r="B80" s="3" t="n"/>
      <c r="C80" s="3" t="inlineStr">
        <is>
          <t>分類選択</t>
        </is>
      </c>
      <c r="D80" s="3" t="inlineStr">
        <is>
          <t>大分類・中分類・品目・メーカー・型式選択(SHIP資産マスタ)・曖昧検索・フリー入力・親子関係自動更新</t>
        </is>
      </c>
      <c r="F80" s="4" t="n">
        <v>12</v>
      </c>
      <c r="G80" s="4">
        <f>F80*$G$303</f>
        <v/>
      </c>
      <c r="H80" s="4" t="n">
        <v>4</v>
      </c>
      <c r="I80" s="4">
        <f>H80-2</f>
        <v/>
      </c>
      <c r="J80" s="4">
        <f>SUM(F80+I80)</f>
        <v/>
      </c>
      <c r="K80" s="3" t="inlineStr"/>
    </row>
    <row r="81">
      <c r="A81" s="3" t="n"/>
      <c r="B81" s="3" t="n"/>
      <c r="C81" s="3" t="inlineStr">
        <is>
          <t>寸法入力</t>
        </is>
      </c>
      <c r="D81" s="3" t="inlineStr">
        <is>
          <t>W・D・H寸法入力フォーム</t>
        </is>
      </c>
      <c r="F81" s="4" t="n">
        <v>12</v>
      </c>
      <c r="G81" s="4">
        <f>F81*$G$303</f>
        <v/>
      </c>
      <c r="H81" s="4" t="n">
        <v>4</v>
      </c>
      <c r="I81" s="4">
        <f>H81-2</f>
        <v/>
      </c>
      <c r="J81" s="4">
        <f>SUM(F81+I81)</f>
        <v/>
      </c>
      <c r="K81" s="3" t="inlineStr"/>
    </row>
    <row r="82">
      <c r="A82" s="3" t="n"/>
      <c r="B82" s="3" t="n"/>
      <c r="C82" s="3" t="inlineStr">
        <is>
          <t>リース・貸出品トグル</t>
        </is>
      </c>
      <c r="D82" s="3" t="inlineStr">
        <is>
          <t>リース・貸出品フラグ切替</t>
        </is>
      </c>
      <c r="F82" s="4" t="n">
        <v>12</v>
      </c>
      <c r="G82" s="4">
        <f>F82*$G$303</f>
        <v/>
      </c>
      <c r="H82" s="4" t="n">
        <v>4</v>
      </c>
      <c r="I82" s="4">
        <f>H82-2</f>
        <v/>
      </c>
      <c r="J82" s="4">
        <f>SUM(F82+I82)</f>
        <v/>
      </c>
      <c r="K82" s="3" t="inlineStr"/>
    </row>
    <row r="83">
      <c r="A83" s="3" t="n"/>
      <c r="B83" s="3" t="n"/>
      <c r="C83" s="3" t="inlineStr">
        <is>
          <t>一括登録モード</t>
        </is>
      </c>
      <c r="D83" s="3" t="inlineStr">
        <is>
          <t>開始〜終了ラベルNoの一括登録</t>
        </is>
      </c>
      <c r="F83" s="4" t="n">
        <v>16</v>
      </c>
      <c r="G83" s="4">
        <f>F83*$G$303</f>
        <v/>
      </c>
      <c r="H83" s="4" t="n">
        <v>5</v>
      </c>
      <c r="I83" s="4">
        <f>H83-2</f>
        <v/>
      </c>
      <c r="J83" s="4">
        <f>SUM(F83+I83)</f>
        <v/>
      </c>
      <c r="K83" s="3" t="inlineStr"/>
    </row>
    <row r="84">
      <c r="A84" s="3" t="n"/>
      <c r="B84" s="3" t="n"/>
      <c r="C84" s="3" t="inlineStr">
        <is>
          <t>履歴表示</t>
        </is>
      </c>
      <c r="D84" s="3" t="inlineStr">
        <is>
          <t>調査履歴一覧表示</t>
        </is>
      </c>
      <c r="F84" s="4" t="n">
        <v>12</v>
      </c>
      <c r="G84" s="4">
        <f>F84*$G$303</f>
        <v/>
      </c>
      <c r="H84" s="4" t="n">
        <v>4</v>
      </c>
      <c r="I84" s="4">
        <f>H84-2</f>
        <v/>
      </c>
      <c r="J84" s="4">
        <f>SUM(F84+I84)</f>
        <v/>
      </c>
      <c r="K84" s="3" t="inlineStr"/>
    </row>
    <row r="85">
      <c r="A85" s="3" t="n"/>
      <c r="B85" s="3" t="n"/>
      <c r="C85" s="3" t="inlineStr">
        <is>
          <t>商品登録</t>
        </is>
      </c>
      <c r="D85" s="3" t="inlineStr">
        <is>
          <t>現有品調査リスト(修正前)へ登録</t>
        </is>
      </c>
      <c r="F85" s="4" t="n">
        <v>16</v>
      </c>
      <c r="G85" s="4">
        <f>F85*$G$303</f>
        <v/>
      </c>
      <c r="H85" s="4" t="n">
        <v>5</v>
      </c>
      <c r="I85" s="4">
        <f>H85-2</f>
        <v/>
      </c>
      <c r="J85" s="4">
        <f>SUM(F85+I85)</f>
        <v/>
      </c>
      <c r="K85" s="3" t="inlineStr"/>
    </row>
    <row r="86">
      <c r="A86" s="3" t="n"/>
      <c r="B86" s="3" t="inlineStr">
        <is>
          <t>調査履歴</t>
        </is>
      </c>
      <c r="C86" s="3" t="inlineStr">
        <is>
          <t>履歴カード表示</t>
        </is>
      </c>
      <c r="D86" s="3" t="inlineStr">
        <is>
          <t>調査履歴カード一覧</t>
        </is>
      </c>
      <c r="E86" s="14" t="inlineStr">
        <is>
          <t>https://ryota-wata.github.io/medical-device-mgmt/history</t>
        </is>
      </c>
      <c r="F86" s="4" t="n">
        <v>12</v>
      </c>
      <c r="G86" s="4">
        <f>F86*$G$303</f>
        <v/>
      </c>
      <c r="H86" s="4" t="n">
        <v>4</v>
      </c>
      <c r="I86" s="4">
        <f>H86-2</f>
        <v/>
      </c>
      <c r="J86" s="4">
        <f>SUM(F86+I86)</f>
        <v/>
      </c>
      <c r="K86" s="3" t="inlineStr"/>
    </row>
    <row r="87">
      <c r="A87" s="3" t="n"/>
      <c r="B87" s="3" t="n"/>
      <c r="C87" s="3" t="inlineStr">
        <is>
          <t>修正機能</t>
        </is>
      </c>
      <c r="D87" s="3" t="inlineStr">
        <is>
          <t>調査データ修正遷移</t>
        </is>
      </c>
      <c r="F87" s="4" t="n">
        <v>12</v>
      </c>
      <c r="G87" s="4">
        <f>F87*$G$303</f>
        <v/>
      </c>
      <c r="H87" s="4" t="n">
        <v>4</v>
      </c>
      <c r="I87" s="4">
        <f>H87-2</f>
        <v/>
      </c>
      <c r="J87" s="4">
        <f>SUM(F87+I87)</f>
        <v/>
      </c>
      <c r="K87" s="3" t="inlineStr"/>
    </row>
    <row r="88">
      <c r="A88" s="3" t="n"/>
      <c r="B88" s="3" t="n"/>
      <c r="C88" s="3" t="inlineStr">
        <is>
          <t>再利用機能</t>
        </is>
      </c>
      <c r="D88" s="3" t="inlineStr">
        <is>
          <t>調査データ再利用</t>
        </is>
      </c>
      <c r="F88" s="4" t="n">
        <v>12</v>
      </c>
      <c r="G88" s="4">
        <f>F88*$G$303</f>
        <v/>
      </c>
      <c r="H88" s="4" t="n">
        <v>4</v>
      </c>
      <c r="I88" s="4">
        <f>H88-2</f>
        <v/>
      </c>
      <c r="J88" s="4">
        <f>SUM(F88+I88)</f>
        <v/>
      </c>
      <c r="K88" s="3" t="inlineStr"/>
    </row>
    <row r="89">
      <c r="A89" s="2" t="inlineStr">
        <is>
          <t>現有品調査修正</t>
        </is>
      </c>
      <c r="B89" s="3" t="inlineStr">
        <is>
          <t>調査内容修正</t>
        </is>
      </c>
      <c r="C89" s="3" t="inlineStr">
        <is>
          <t>フィルター機能</t>
        </is>
      </c>
      <c r="D89" s="3" t="inlineStr">
        <is>
          <t>棟・階・部門・部署・担当者等フィルター</t>
        </is>
      </c>
      <c r="E89" s="14" t="inlineStr">
        <is>
          <t>https://ryota-wata.github.io/medical-device-mgmt/registration-edit</t>
        </is>
      </c>
      <c r="F89" s="4" t="n">
        <v>12</v>
      </c>
      <c r="G89" s="4">
        <f>F89*$G$303</f>
        <v/>
      </c>
      <c r="H89" s="4" t="n">
        <v>4</v>
      </c>
      <c r="I89" s="4">
        <f>H89-2</f>
        <v/>
      </c>
      <c r="J89" s="4">
        <f>SUM(F89+I89)</f>
        <v/>
      </c>
      <c r="K89" s="3" t="inlineStr"/>
    </row>
    <row r="90">
      <c r="A90" s="3" t="n"/>
      <c r="B90" s="3" t="n"/>
      <c r="C90" s="3" t="inlineStr">
        <is>
          <t>テーブル表示</t>
        </is>
      </c>
      <c r="D90" s="3" t="inlineStr">
        <is>
          <t>調査データ一覧テーブル</t>
        </is>
      </c>
      <c r="F90" s="4" t="n">
        <v>12</v>
      </c>
      <c r="G90" s="4">
        <f>F90*$G$303</f>
        <v/>
      </c>
      <c r="H90" s="4" t="n">
        <v>4</v>
      </c>
      <c r="I90" s="4">
        <f>H90-2</f>
        <v/>
      </c>
      <c r="J90" s="4">
        <f>SUM(F90+I90)</f>
        <v/>
      </c>
      <c r="K90" s="3" t="inlineStr"/>
    </row>
    <row r="91">
      <c r="A91" s="3" t="n"/>
      <c r="B91" s="3" t="n"/>
      <c r="C91" s="3" t="inlineStr">
        <is>
          <t>行選択</t>
        </is>
      </c>
      <c r="D91" s="3" t="inlineStr">
        <is>
          <t>チェックボックスによる行選択</t>
        </is>
      </c>
      <c r="F91" s="4" t="n">
        <v>12</v>
      </c>
      <c r="G91" s="4">
        <f>F91*$G$303</f>
        <v/>
      </c>
      <c r="H91" s="4" t="n">
        <v>4</v>
      </c>
      <c r="I91" s="4">
        <f>H91-2</f>
        <v/>
      </c>
      <c r="J91" s="4">
        <f>SUM(F91+I91)</f>
        <v/>
      </c>
      <c r="K91" s="3" t="inlineStr"/>
    </row>
    <row r="92">
      <c r="A92" s="3" t="n"/>
      <c r="B92" s="3" t="n"/>
      <c r="C92" s="3" t="inlineStr">
        <is>
          <t>インライン編集</t>
        </is>
      </c>
      <c r="D92" s="3" t="inlineStr">
        <is>
          <t>行データのインライン編集</t>
        </is>
      </c>
      <c r="F92" s="4" t="n">
        <v>12</v>
      </c>
      <c r="G92" s="4">
        <f>F92*$G$303</f>
        <v/>
      </c>
      <c r="H92" s="4" t="n">
        <v>4</v>
      </c>
      <c r="I92" s="4">
        <f>H92-2</f>
        <v/>
      </c>
      <c r="J92" s="4">
        <f>SUM(F92+I92)</f>
        <v/>
      </c>
      <c r="K92" s="3" t="inlineStr"/>
    </row>
    <row r="93">
      <c r="A93" s="3" t="n"/>
      <c r="B93" s="3" t="n"/>
      <c r="C93" s="3" t="inlineStr">
        <is>
          <t>写真表示モーダル</t>
        </is>
      </c>
      <c r="D93" s="3" t="inlineStr">
        <is>
          <t>写真拡大表示(OSのデフォルト画像アプリ)・ドラッグ移動</t>
        </is>
      </c>
      <c r="F93" s="4" t="n">
        <v>16</v>
      </c>
      <c r="G93" s="4">
        <f>F93*$G$303</f>
        <v/>
      </c>
      <c r="H93" s="4" t="n">
        <v>5</v>
      </c>
      <c r="I93" s="4">
        <f>H93-2</f>
        <v/>
      </c>
      <c r="J93" s="4">
        <f>SUM(F93+I93)</f>
        <v/>
      </c>
      <c r="K93" s="3" t="inlineStr"/>
    </row>
    <row r="94">
      <c r="A94" s="3" t="n"/>
      <c r="B94" s="3" t="n"/>
      <c r="C94" s="3" t="inlineStr">
        <is>
          <t>写真削除</t>
        </is>
      </c>
      <c r="D94" s="3" t="inlineStr">
        <is>
          <t>写真削除機能</t>
        </is>
      </c>
      <c r="F94" s="4" t="n">
        <v>8</v>
      </c>
      <c r="G94" s="4">
        <f>F94*$G$303</f>
        <v/>
      </c>
      <c r="H94" s="4" t="n">
        <v>2.5</v>
      </c>
      <c r="I94" s="4">
        <f>H94-2</f>
        <v/>
      </c>
      <c r="J94" s="4">
        <f>SUM(F94+I94)</f>
        <v/>
      </c>
      <c r="K94" s="3" t="inlineStr"/>
    </row>
    <row r="95">
      <c r="A95" s="3" t="n"/>
      <c r="B95" s="3" t="n"/>
      <c r="C95" s="3" t="inlineStr">
        <is>
          <t>マスタ紐付け状態表示</t>
        </is>
      </c>
      <c r="D95" s="3" t="inlineStr">
        <is>
          <t>紐付け状態の色分け表示(フリー入力の場合の強調表示)</t>
        </is>
      </c>
      <c r="F95" s="4" t="n">
        <v>12</v>
      </c>
      <c r="G95" s="4">
        <f>F95*$G$303</f>
        <v/>
      </c>
      <c r="H95" s="4" t="n">
        <v>4</v>
      </c>
      <c r="I95" s="4">
        <f>H95-2</f>
        <v/>
      </c>
      <c r="J95" s="4">
        <f>SUM(F95+I95)</f>
        <v/>
      </c>
      <c r="K95" s="3" t="inlineStr"/>
    </row>
    <row r="96">
      <c r="A96" s="3" t="n"/>
      <c r="B96" s="3" t="n"/>
      <c r="C96" s="3" t="inlineStr">
        <is>
          <t>資産マスタ選択(別窓)</t>
        </is>
      </c>
      <c r="D96" s="3" t="inlineStr">
        <is>
          <t>別ウィンドウでの資産マスタ選択</t>
        </is>
      </c>
      <c r="F96" s="4" t="n">
        <v>12</v>
      </c>
      <c r="G96" s="4">
        <f>F96*$G$303</f>
        <v/>
      </c>
      <c r="H96" s="4" t="n">
        <v>4</v>
      </c>
      <c r="I96" s="4">
        <f>H96-2</f>
        <v/>
      </c>
      <c r="J96" s="4">
        <f>SUM(F96+I96)</f>
        <v/>
      </c>
      <c r="K96" s="3" t="inlineStr"/>
    </row>
    <row r="97">
      <c r="A97" s="3" t="n"/>
      <c r="B97" s="3" t="n"/>
      <c r="C97" s="3" t="inlineStr">
        <is>
          <t>行確定処理</t>
        </is>
      </c>
      <c r="D97" s="3" t="inlineStr">
        <is>
          <t>個別行の確定処理</t>
        </is>
      </c>
      <c r="F97" s="4" t="n">
        <v>16</v>
      </c>
      <c r="G97" s="4">
        <f>F97*$G$303</f>
        <v/>
      </c>
      <c r="H97" s="4" t="n">
        <v>5</v>
      </c>
      <c r="I97" s="4">
        <f>H97-2</f>
        <v/>
      </c>
      <c r="J97" s="4">
        <f>SUM(F97+I97)</f>
        <v/>
      </c>
      <c r="K97" s="3" t="inlineStr"/>
    </row>
    <row r="98">
      <c r="A98" s="3" t="n"/>
      <c r="B98" s="3" t="n"/>
      <c r="C98" s="3" t="inlineStr">
        <is>
          <t>一括確定処理</t>
        </is>
      </c>
      <c r="D98" s="3" t="inlineStr">
        <is>
          <t>複数行の一括確定</t>
        </is>
      </c>
      <c r="F98" s="4" t="n">
        <v>16</v>
      </c>
      <c r="G98" s="4">
        <f>F98*$G$303</f>
        <v/>
      </c>
      <c r="H98" s="4" t="n">
        <v>5</v>
      </c>
      <c r="I98" s="4">
        <f>H98-2</f>
        <v/>
      </c>
      <c r="J98" s="4">
        <f>SUM(F98+I98)</f>
        <v/>
      </c>
      <c r="K98" s="3" t="inlineStr"/>
    </row>
    <row r="99">
      <c r="A99" s="2" t="inlineStr">
        <is>
          <t>固定資産台帳取込</t>
        </is>
      </c>
      <c r="B99" s="3" t="inlineStr">
        <is>
          <t>ファイルインポート</t>
        </is>
      </c>
      <c r="C99" s="3" t="inlineStr">
        <is>
          <t>ファイルタイプ選択</t>
        </is>
      </c>
      <c r="D99" s="3" t="inlineStr">
        <is>
          <t>固定資産/ME機器台帳選択</t>
        </is>
      </c>
      <c r="E99" s="14" t="inlineStr">
        <is>
          <t>https://ryota-wata.github.io/medical-device-mgmt/asset-import</t>
        </is>
      </c>
      <c r="F99" s="4" t="n">
        <v>12</v>
      </c>
      <c r="G99" s="4">
        <f>F99*$G$303</f>
        <v/>
      </c>
      <c r="H99" s="4" t="n">
        <v>4</v>
      </c>
      <c r="I99" s="4">
        <f>H99-2</f>
        <v/>
      </c>
      <c r="J99" s="4">
        <f>SUM(F99+I99)</f>
        <v/>
      </c>
      <c r="K99" s="3" t="inlineStr"/>
    </row>
    <row r="100">
      <c r="A100" s="3" t="n"/>
      <c r="B100" s="3" t="n"/>
      <c r="C100" s="3" t="inlineStr">
        <is>
          <t>ドラッグ&amp;ドロップ</t>
        </is>
      </c>
      <c r="D100" s="3" t="inlineStr">
        <is>
          <t>ファイルD&amp;Dアップロード</t>
        </is>
      </c>
      <c r="F100" s="4" t="n">
        <v>12</v>
      </c>
      <c r="G100" s="4">
        <f>F100*$G$303</f>
        <v/>
      </c>
      <c r="H100" s="4" t="n">
        <v>4</v>
      </c>
      <c r="I100" s="4">
        <f>H100-2</f>
        <v/>
      </c>
      <c r="J100" s="4">
        <f>SUM(F100+I100)</f>
        <v/>
      </c>
      <c r="K100" s="3" t="inlineStr"/>
    </row>
    <row r="101">
      <c r="A101" s="3" t="n"/>
      <c r="B101" s="3" t="n"/>
      <c r="C101" s="3" t="inlineStr">
        <is>
          <t>ファイルバリデーション</t>
        </is>
      </c>
      <c r="D101" s="3" t="inlineStr">
        <is>
          <t>ファイル形式・サイズチェック</t>
        </is>
      </c>
      <c r="F101" s="4" t="n">
        <v>8</v>
      </c>
      <c r="G101" s="4">
        <f>F101*$G$303</f>
        <v/>
      </c>
      <c r="H101" s="4" t="n">
        <v>2.5</v>
      </c>
      <c r="I101" s="4">
        <f>H101-2</f>
        <v/>
      </c>
      <c r="J101" s="4">
        <f>SUM(F101+I101)</f>
        <v/>
      </c>
      <c r="K101" s="3" t="inlineStr"/>
    </row>
    <row r="102">
      <c r="A102" s="3" t="n"/>
      <c r="B102" s="3" t="n"/>
      <c r="C102" s="3" t="inlineStr">
        <is>
          <t>アップロード済み一覧</t>
        </is>
      </c>
      <c r="D102" s="3" t="inlineStr">
        <is>
          <t>アップロードファイル一覧表示</t>
        </is>
      </c>
      <c r="F102" s="4" t="n">
        <v>16</v>
      </c>
      <c r="G102" s="4">
        <f>F102*$G$303</f>
        <v/>
      </c>
      <c r="H102" s="4" t="n">
        <v>5</v>
      </c>
      <c r="I102" s="4">
        <f>H102-2</f>
        <v/>
      </c>
      <c r="J102" s="4">
        <f>SUM(F102+I102)</f>
        <v/>
      </c>
      <c r="K102" s="3" t="inlineStr"/>
    </row>
    <row r="103">
      <c r="A103" s="3" t="n"/>
      <c r="B103" s="3" t="n"/>
      <c r="C103" s="3" t="inlineStr">
        <is>
          <t>ファイル削除</t>
        </is>
      </c>
      <c r="D103" s="3" t="inlineStr">
        <is>
          <t>アップロードファイル削除</t>
        </is>
      </c>
      <c r="F103" s="4" t="n">
        <v>8</v>
      </c>
      <c r="G103" s="4">
        <f>F103*$G$303</f>
        <v/>
      </c>
      <c r="H103" s="4" t="n">
        <v>2.5</v>
      </c>
      <c r="I103" s="4">
        <f>H103-2</f>
        <v/>
      </c>
      <c r="J103" s="4">
        <f>SUM(F103+I103)</f>
        <v/>
      </c>
      <c r="K103" s="3" t="inlineStr"/>
    </row>
    <row r="104">
      <c r="A104" s="3" t="n"/>
      <c r="B104" s="3" t="inlineStr">
        <is>
          <t>資産突き合わせ</t>
        </is>
      </c>
      <c r="C104" s="3" t="inlineStr">
        <is>
          <t>進捗表示</t>
        </is>
      </c>
      <c r="D104" s="3" t="inlineStr">
        <is>
          <t>突き合わせ進捗表示</t>
        </is>
      </c>
      <c r="E104" s="14" t="inlineStr">
        <is>
          <t>https://ryota-wata.github.io/medical-device-mgmt/asset-matching</t>
        </is>
      </c>
      <c r="F104" s="4" t="n">
        <v>12</v>
      </c>
      <c r="G104" s="4">
        <f>F104*$G$303</f>
        <v/>
      </c>
      <c r="H104" s="4" t="n">
        <v>4</v>
      </c>
      <c r="I104" s="4">
        <f>H104-2</f>
        <v/>
      </c>
      <c r="J104" s="4">
        <f>SUM(F104+I104)</f>
        <v/>
      </c>
      <c r="K104" s="3" t="inlineStr"/>
    </row>
    <row r="105">
      <c r="A105" s="3" t="n"/>
      <c r="B105" s="3" t="n"/>
      <c r="C105" s="3" t="inlineStr">
        <is>
          <t>フィルター機能</t>
        </is>
      </c>
      <c r="D105" s="3" t="inlineStr">
        <is>
          <t>部門・部署・Category等フィルター</t>
        </is>
      </c>
      <c r="F105" s="4" t="n">
        <v>12</v>
      </c>
      <c r="G105" s="4">
        <f>F105*$G$303</f>
        <v/>
      </c>
      <c r="H105" s="4" t="n">
        <v>4</v>
      </c>
      <c r="I105" s="4">
        <f>H105-2</f>
        <v/>
      </c>
      <c r="J105" s="4">
        <f>SUM(F105+I105)</f>
        <v/>
      </c>
      <c r="K105" s="3" t="inlineStr"/>
    </row>
    <row r="106">
      <c r="A106" s="3" t="n"/>
      <c r="B106" s="3" t="n"/>
      <c r="C106" s="3" t="inlineStr">
        <is>
          <t>テーブル表示</t>
        </is>
      </c>
      <c r="D106" s="3" t="inlineStr">
        <is>
          <t>マッチングデータ一覧表示</t>
        </is>
      </c>
      <c r="F106" s="4" t="n">
        <v>12</v>
      </c>
      <c r="G106" s="4">
        <f>F106*$G$303</f>
        <v/>
      </c>
      <c r="H106" s="4" t="n">
        <v>4</v>
      </c>
      <c r="I106" s="4">
        <f>H106-2</f>
        <v/>
      </c>
      <c r="J106" s="4">
        <f>SUM(F106+I106)</f>
        <v/>
      </c>
      <c r="K106" s="3" t="inlineStr"/>
    </row>
    <row r="107">
      <c r="A107" s="3" t="n"/>
      <c r="B107" s="3" t="n"/>
      <c r="C107" s="3" t="inlineStr">
        <is>
          <t>インライン編集</t>
        </is>
      </c>
      <c r="D107" s="3" t="inlineStr">
        <is>
          <t>行データのインライン編集</t>
        </is>
      </c>
      <c r="F107" s="4" t="n">
        <v>12</v>
      </c>
      <c r="G107" s="4">
        <f>F107*$G$303</f>
        <v/>
      </c>
      <c r="H107" s="4" t="n">
        <v>4</v>
      </c>
      <c r="I107" s="4">
        <f>H107-2</f>
        <v/>
      </c>
      <c r="J107" s="4">
        <f>SUM(F107+I107)</f>
        <v/>
      </c>
      <c r="K107" s="3" t="inlineStr"/>
    </row>
    <row r="108">
      <c r="A108" s="3" t="n"/>
      <c r="B108" s="3" t="n"/>
      <c r="C108" s="3" t="inlineStr">
        <is>
          <t>AI推奨機能</t>
        </is>
      </c>
      <c r="D108" s="3" t="inlineStr">
        <is>
          <t>コサイン類似度検索・AI候補の表示・適用</t>
        </is>
      </c>
      <c r="F108" s="4" t="n">
        <v>20</v>
      </c>
      <c r="G108" s="4">
        <f>F108*$G$303</f>
        <v/>
      </c>
      <c r="H108" s="4" t="n">
        <v>6.5</v>
      </c>
      <c r="I108" s="4">
        <f>H108-2</f>
        <v/>
      </c>
      <c r="J108" s="4">
        <f>SUM(F108+I108)</f>
        <v/>
      </c>
      <c r="K108" s="3" t="inlineStr"/>
    </row>
    <row r="109">
      <c r="A109" s="3" t="n"/>
      <c r="B109" s="3" t="n"/>
      <c r="C109" s="3" t="inlineStr">
        <is>
          <t>親子関係自動更新</t>
        </is>
      </c>
      <c r="D109" s="3" t="inlineStr">
        <is>
          <t>フィールド変更時の連動更新</t>
        </is>
      </c>
      <c r="F109" s="4" t="n">
        <v>12</v>
      </c>
      <c r="G109" s="4">
        <f>F109*$G$303</f>
        <v/>
      </c>
      <c r="H109" s="4" t="n">
        <v>4</v>
      </c>
      <c r="I109" s="4">
        <f>H109-2</f>
        <v/>
      </c>
      <c r="J109" s="4">
        <f>SUM(F109+I109)</f>
        <v/>
      </c>
      <c r="K109" s="3" t="inlineStr"/>
    </row>
    <row r="110">
      <c r="A110" s="3" t="n"/>
      <c r="B110" s="3" t="n"/>
      <c r="C110" s="3" t="inlineStr">
        <is>
          <t>確定機能</t>
        </is>
      </c>
      <c r="D110" s="3" t="inlineStr">
        <is>
          <t>マッチング確定処理</t>
        </is>
      </c>
      <c r="F110" s="4" t="n">
        <v>16</v>
      </c>
      <c r="G110" s="4">
        <f>F110*$G$303</f>
        <v/>
      </c>
      <c r="H110" s="4" t="n">
        <v>5</v>
      </c>
      <c r="I110" s="4">
        <f>H110-2</f>
        <v/>
      </c>
      <c r="J110" s="4">
        <f>SUM(F110+I110)</f>
        <v/>
      </c>
      <c r="K110" s="3" t="inlineStr"/>
    </row>
    <row r="111">
      <c r="A111" s="2" t="inlineStr">
        <is>
          <t>データ突合</t>
        </is>
      </c>
      <c r="B111" s="3" t="inlineStr">
        <is>
          <t>調査データマッチング</t>
        </is>
      </c>
      <c r="C111" s="3" t="inlineStr">
        <is>
          <t>フィルター機能</t>
        </is>
      </c>
      <c r="D111" s="3" t="inlineStr">
        <is>
          <t>複合条件フィルター</t>
        </is>
      </c>
      <c r="E111" s="14" t="inlineStr">
        <is>
          <t>https://ryota-wata.github.io/medical-device-mgmt/data-matching</t>
        </is>
      </c>
      <c r="F111" s="4" t="n">
        <v>12</v>
      </c>
      <c r="G111" s="4">
        <f>F111*$G$303</f>
        <v/>
      </c>
      <c r="H111" s="4" t="n">
        <v>4</v>
      </c>
      <c r="I111" s="4">
        <f>H111-2</f>
        <v/>
      </c>
      <c r="J111" s="4">
        <f>SUM(F111+I111)</f>
        <v/>
      </c>
      <c r="K111" s="3" t="inlineStr"/>
    </row>
    <row r="112">
      <c r="A112" s="3" t="n"/>
      <c r="B112" s="3" t="n"/>
      <c r="C112" s="3" t="inlineStr">
        <is>
          <t>台帳ウィンドウ別開き</t>
        </is>
      </c>
      <c r="D112" s="3" t="inlineStr">
        <is>
          <t>台帳データの別ウィンドウ表示（固定資産台帳・ME機器台帳）</t>
        </is>
      </c>
      <c r="F112" s="4" t="n">
        <v>16</v>
      </c>
      <c r="G112" s="4">
        <f>F112*$G$303</f>
        <v/>
      </c>
      <c r="H112" s="4" t="n">
        <v>5</v>
      </c>
      <c r="I112" s="4">
        <f>H112-2</f>
        <v/>
      </c>
      <c r="J112" s="4">
        <f>SUM(F112+I112)</f>
        <v/>
      </c>
      <c r="K112" s="3" t="inlineStr"/>
    </row>
    <row r="113">
      <c r="A113" s="3" t="n"/>
      <c r="B113" s="3" t="n"/>
      <c r="C113" s="3" t="inlineStr">
        <is>
          <t>フィルター同期</t>
        </is>
      </c>
      <c r="D113" s="3" t="inlineStr">
        <is>
          <t>ウィンドウ間フィルター同期（postMessage・localStorage）</t>
        </is>
      </c>
      <c r="F113" s="4" t="n">
        <v>20</v>
      </c>
      <c r="G113" s="4">
        <f>F113*$G$303</f>
        <v/>
      </c>
      <c r="H113" s="4" t="n">
        <v>6.5</v>
      </c>
      <c r="I113" s="4">
        <f>H113-2</f>
        <v/>
      </c>
      <c r="J113" s="4">
        <f>SUM(F113+I113)</f>
        <v/>
      </c>
      <c r="K113" s="3" t="inlineStr"/>
    </row>
    <row r="114">
      <c r="A114" s="3" t="n"/>
      <c r="B114" s="3" t="n"/>
      <c r="C114" s="3" t="inlineStr">
        <is>
          <t>ステータス管理</t>
        </is>
      </c>
      <c r="D114" s="3" t="inlineStr">
        <is>
          <t>完全一致/部分一致/数量不一致/再確認/未確認/未登録表示</t>
        </is>
      </c>
      <c r="F114" s="4" t="n">
        <v>12</v>
      </c>
      <c r="G114" s="4">
        <f>F114*$G$303</f>
        <v/>
      </c>
      <c r="H114" s="4" t="n">
        <v>4</v>
      </c>
      <c r="I114" s="4">
        <f>H114-2</f>
        <v/>
      </c>
      <c r="J114" s="4">
        <f>SUM(F114+I114)</f>
        <v/>
      </c>
      <c r="K114" s="3" t="inlineStr"/>
    </row>
    <row r="115">
      <c r="A115" s="3" t="n"/>
      <c r="B115" s="3" t="n"/>
      <c r="C115" s="3" t="inlineStr">
        <is>
          <t>編集モーダル</t>
        </is>
      </c>
      <c r="D115" s="3" t="inlineStr">
        <is>
          <t>マッチングデータ編集</t>
        </is>
      </c>
      <c r="F115" s="4" t="n">
        <v>12</v>
      </c>
      <c r="G115" s="4">
        <f>F115*$G$303</f>
        <v/>
      </c>
      <c r="H115" s="4" t="n">
        <v>4</v>
      </c>
      <c r="I115" s="4">
        <f>H115-2</f>
        <v/>
      </c>
      <c r="J115" s="4">
        <f>SUM(F115+I115)</f>
        <v/>
      </c>
      <c r="K115" s="3" t="inlineStr"/>
    </row>
    <row r="116">
      <c r="A116" s="3" t="n"/>
      <c r="B116" s="3" t="n"/>
      <c r="C116" s="3" t="inlineStr">
        <is>
          <t>一括確定</t>
        </is>
      </c>
      <c r="D116" s="3" t="inlineStr">
        <is>
          <t>複数データ一括確定</t>
        </is>
      </c>
      <c r="F116" s="4" t="n">
        <v>16</v>
      </c>
      <c r="G116" s="4">
        <f>F116*$G$303</f>
        <v/>
      </c>
      <c r="H116" s="4" t="n">
        <v>5</v>
      </c>
      <c r="I116" s="4">
        <f>H116-2</f>
        <v/>
      </c>
      <c r="J116" s="4">
        <f>SUM(F116+I116)</f>
        <v/>
      </c>
      <c r="K116" s="3" t="inlineStr"/>
    </row>
    <row r="117">
      <c r="A117" s="3" t="n"/>
      <c r="B117" s="3" t="inlineStr">
        <is>
          <t>台帳ウィンドウ</t>
        </is>
      </c>
      <c r="C117" s="3" t="inlineStr">
        <is>
          <t>フィルター受信</t>
        </is>
      </c>
      <c r="D117" s="3" t="inlineStr">
        <is>
          <t>親ウィンドウからのフィルター受信</t>
        </is>
      </c>
      <c r="E117" s="14" t="inlineStr">
        <is>
          <t>https://ryota-wata.github.io/medical-device-mgmt/data-matching/ledger</t>
        </is>
      </c>
      <c r="F117" s="4" t="n">
        <v>12</v>
      </c>
      <c r="G117" s="4">
        <f>F117*$G$303</f>
        <v/>
      </c>
      <c r="H117" s="4" t="n">
        <v>4</v>
      </c>
      <c r="I117" s="4">
        <f>H117-2</f>
        <v/>
      </c>
      <c r="J117" s="4">
        <f>SUM(F117+I117)</f>
        <v/>
      </c>
      <c r="K117" s="3" t="inlineStr"/>
    </row>
    <row r="118">
      <c r="A118" s="3" t="n"/>
      <c r="B118" s="3" t="n"/>
      <c r="C118" s="3" t="inlineStr">
        <is>
          <t>台帳データ表示</t>
        </is>
      </c>
      <c r="D118" s="3" t="inlineStr">
        <is>
          <t>台帳データテーブル表示</t>
        </is>
      </c>
      <c r="F118" s="4" t="n">
        <v>12</v>
      </c>
      <c r="G118" s="4">
        <f>F118*$G$303</f>
        <v/>
      </c>
      <c r="H118" s="4" t="n">
        <v>4</v>
      </c>
      <c r="I118" s="4">
        <f>H118-2</f>
        <v/>
      </c>
      <c r="J118" s="4">
        <f>SUM(F118+I118)</f>
        <v/>
      </c>
      <c r="K118" s="3" t="inlineStr"/>
    </row>
    <row r="119">
      <c r="A119" s="3" t="n"/>
      <c r="B119" s="3" t="n"/>
      <c r="C119" s="3" t="inlineStr">
        <is>
          <t>複数選択</t>
        </is>
      </c>
      <c r="D119" s="3" t="inlineStr">
        <is>
          <t>チェックボックスによる複数選択</t>
        </is>
      </c>
      <c r="F119" s="4" t="n">
        <v>12</v>
      </c>
      <c r="G119" s="4">
        <f>F119*$G$303</f>
        <v/>
      </c>
      <c r="H119" s="4" t="n">
        <v>4</v>
      </c>
      <c r="I119" s="4">
        <f>H119-2</f>
        <v/>
      </c>
      <c r="J119" s="4">
        <f>SUM(F119+I119)</f>
        <v/>
      </c>
      <c r="K119" s="3" t="inlineStr"/>
    </row>
    <row r="120">
      <c r="A120" s="3" t="n"/>
      <c r="B120" s="3" t="n"/>
      <c r="C120" s="3" t="inlineStr">
        <is>
          <t>選択情報送信</t>
        </is>
      </c>
      <c r="D120" s="3" t="inlineStr">
        <is>
          <t>親ウィンドウへの選択データ送信</t>
        </is>
      </c>
      <c r="F120" s="4" t="n">
        <v>12</v>
      </c>
      <c r="G120" s="4">
        <f>F120*$G$303</f>
        <v/>
      </c>
      <c r="H120" s="4" t="n">
        <v>4</v>
      </c>
      <c r="I120" s="4">
        <f>H120-2</f>
        <v/>
      </c>
      <c r="J120" s="4">
        <f>SUM(F120+I120)</f>
        <v/>
      </c>
      <c r="K120" s="3" t="inlineStr"/>
    </row>
    <row r="121">
      <c r="A121" s="2" t="inlineStr">
        <is>
          <t>資産一覧</t>
        </is>
      </c>
      <c r="B121" s="3" t="inlineStr">
        <is>
          <t>資産一覧表示</t>
        </is>
      </c>
      <c r="C121" s="3" t="inlineStr">
        <is>
          <t>テーブル表示</t>
        </is>
      </c>
      <c r="D121" s="3" t="inlineStr">
        <is>
          <t>原本リスト検索結果テーブル表示</t>
        </is>
      </c>
      <c r="E121" s="14" t="inlineStr">
        <is>
          <t>https://ryota-wata.github.io/medical-device-mgmt/asset-search-result</t>
        </is>
      </c>
      <c r="F121" s="4" t="n">
        <v>12</v>
      </c>
      <c r="G121" s="4">
        <f>F121*$G$303</f>
        <v/>
      </c>
      <c r="H121" s="4" t="n">
        <v>4</v>
      </c>
      <c r="I121" s="4">
        <f>H121-2</f>
        <v/>
      </c>
      <c r="J121" s="4">
        <f>SUM(F121+I121)</f>
        <v/>
      </c>
      <c r="K121" s="3" t="inlineStr"/>
    </row>
    <row r="122">
      <c r="A122" s="3" t="n"/>
      <c r="B122" s="3" t="n"/>
      <c r="C122" s="3" t="inlineStr">
        <is>
          <t>ビュー切替</t>
        </is>
      </c>
      <c r="D122" s="3" t="inlineStr">
        <is>
          <t>リスト/カード表示切替</t>
        </is>
      </c>
      <c r="F122" s="4" t="n">
        <v>16</v>
      </c>
      <c r="G122" s="4">
        <f>F122*$G$303</f>
        <v/>
      </c>
      <c r="H122" s="4" t="n">
        <v>5</v>
      </c>
      <c r="I122" s="4">
        <f>H122-2</f>
        <v/>
      </c>
      <c r="J122" s="4">
        <f>SUM(F122+I122)</f>
        <v/>
      </c>
      <c r="K122" s="3" t="inlineStr"/>
    </row>
    <row r="123">
      <c r="A123" s="3" t="n"/>
      <c r="B123" s="3" t="n"/>
      <c r="C123" s="3" t="inlineStr">
        <is>
          <t>複数選択</t>
        </is>
      </c>
      <c r="D123" s="3" t="inlineStr">
        <is>
          <t>チェックボックス複数選択</t>
        </is>
      </c>
      <c r="F123" s="4" t="n">
        <v>12</v>
      </c>
      <c r="G123" s="4">
        <f>F123*$G$303</f>
        <v/>
      </c>
      <c r="H123" s="4" t="n">
        <v>4</v>
      </c>
      <c r="I123" s="4">
        <f>H123-2</f>
        <v/>
      </c>
      <c r="J123" s="4">
        <f>SUM(F123+I123)</f>
        <v/>
      </c>
      <c r="K123" s="3" t="inlineStr"/>
    </row>
    <row r="124">
      <c r="A124" s="3" t="n"/>
      <c r="B124" s="3" t="n"/>
      <c r="C124" s="3" t="inlineStr">
        <is>
          <t>フィルター機能</t>
        </is>
      </c>
      <c r="D124" s="3" t="inlineStr">
        <is>
          <t>施設・棟・階・部門・部署・Category・大分類・中分類・品目・メーカーフィルター</t>
        </is>
      </c>
      <c r="F124" s="4" t="n">
        <v>12</v>
      </c>
      <c r="G124" s="4">
        <f>F124*$G$303</f>
        <v/>
      </c>
      <c r="H124" s="4" t="n">
        <v>4</v>
      </c>
      <c r="I124" s="4">
        <f>H124-2</f>
        <v/>
      </c>
      <c r="J124" s="4">
        <f>SUM(F124+I124)</f>
        <v/>
      </c>
      <c r="K124" s="3" t="inlineStr"/>
    </row>
    <row r="125">
      <c r="A125" s="5" t="n"/>
      <c r="B125" s="5" t="n"/>
      <c r="C125" s="5" t="inlineStr">
        <is>
          <t>カラムグループ切替</t>
        </is>
      </c>
      <c r="D125" s="5" t="inlineStr">
        <is>
          <t>基本情報・共通マスタ・設置情報等8グループの表示切替</t>
        </is>
      </c>
      <c r="F125" s="6" t="n">
        <v>12</v>
      </c>
      <c r="G125" s="6">
        <f>F125*$G$303</f>
        <v/>
      </c>
      <c r="H125" s="6" t="n">
        <v>4</v>
      </c>
      <c r="I125" s="6">
        <f>H125-2</f>
        <v/>
      </c>
      <c r="J125" s="6">
        <f>SUM(F125+I125)</f>
        <v/>
      </c>
      <c r="K125" s="5" t="inlineStr">
        <is>
          <t>NEW</t>
        </is>
      </c>
    </row>
    <row r="126">
      <c r="A126" s="3" t="n"/>
      <c r="B126" s="3" t="n"/>
      <c r="C126" s="3" t="inlineStr">
        <is>
          <t>カラム設定</t>
        </is>
      </c>
      <c r="D126" s="3" t="inlineStr">
        <is>
          <t>表示カラム設定/ブックマーク機能(作成・削除)</t>
        </is>
      </c>
      <c r="F126" s="4" t="n">
        <v>12</v>
      </c>
      <c r="G126" s="4">
        <f>F126*$G$303</f>
        <v/>
      </c>
      <c r="H126" s="4" t="n">
        <v>4</v>
      </c>
      <c r="I126" s="4">
        <f>H126-2</f>
        <v/>
      </c>
      <c r="J126" s="4">
        <f>SUM(F126+I126)</f>
        <v/>
      </c>
      <c r="K126" s="3" t="inlineStr"/>
    </row>
    <row r="127">
      <c r="A127" s="3" t="n"/>
      <c r="B127" s="3" t="n"/>
      <c r="C127" s="3" t="inlineStr">
        <is>
          <t>新規購入申請モーダル</t>
        </is>
      </c>
      <c r="D127" s="3" t="inlineStr">
        <is>
          <t>新規購入申請登録フォーム</t>
        </is>
      </c>
      <c r="F127" s="4" t="n">
        <v>16</v>
      </c>
      <c r="G127" s="4">
        <f>F127*$G$303</f>
        <v/>
      </c>
      <c r="H127" s="4" t="n">
        <v>5</v>
      </c>
      <c r="I127" s="4">
        <f>H127-2</f>
        <v/>
      </c>
      <c r="J127" s="4">
        <f>SUM(F127+I127)</f>
        <v/>
      </c>
      <c r="K127" s="3" t="inlineStr"/>
    </row>
    <row r="128">
      <c r="A128" s="3" t="n"/>
      <c r="B128" s="3" t="n"/>
      <c r="C128" s="3" t="inlineStr">
        <is>
          <t>増設申請モーダル</t>
        </is>
      </c>
      <c r="D128" s="3" t="inlineStr">
        <is>
          <t>増設申請登録フォーム</t>
        </is>
      </c>
      <c r="F128" s="4" t="n">
        <v>16</v>
      </c>
      <c r="G128" s="4">
        <f>F128*$G$303</f>
        <v/>
      </c>
      <c r="H128" s="4" t="n">
        <v>5</v>
      </c>
      <c r="I128" s="4">
        <f>H128-2</f>
        <v/>
      </c>
      <c r="J128" s="4">
        <f>SUM(F128+I128)</f>
        <v/>
      </c>
      <c r="K128" s="3" t="inlineStr"/>
    </row>
    <row r="129">
      <c r="A129" s="3" t="n"/>
      <c r="B129" s="3" t="n"/>
      <c r="C129" s="3" t="inlineStr">
        <is>
          <t>更新申請モーダル</t>
        </is>
      </c>
      <c r="D129" s="3" t="inlineStr">
        <is>
          <t>更新申請登録フォーム</t>
        </is>
      </c>
      <c r="F129" s="4" t="n">
        <v>16</v>
      </c>
      <c r="G129" s="4">
        <f>F129*$G$303</f>
        <v/>
      </c>
      <c r="H129" s="4" t="n">
        <v>5</v>
      </c>
      <c r="I129" s="4">
        <f>H129-2</f>
        <v/>
      </c>
      <c r="J129" s="4">
        <f>SUM(F129+I129)</f>
        <v/>
      </c>
      <c r="K129" s="3" t="inlineStr"/>
    </row>
    <row r="130">
      <c r="A130" s="3" t="n"/>
      <c r="B130" s="3" t="n"/>
      <c r="C130" s="3" t="inlineStr">
        <is>
          <t>移動申請モーダル</t>
        </is>
      </c>
      <c r="D130" s="3" t="inlineStr">
        <is>
          <t>移動申請登録フォーム</t>
        </is>
      </c>
      <c r="F130" s="4" t="n">
        <v>16</v>
      </c>
      <c r="G130" s="4">
        <f>F130*$G$303</f>
        <v/>
      </c>
      <c r="H130" s="4" t="n">
        <v>5</v>
      </c>
      <c r="I130" s="4">
        <f>H130-2</f>
        <v/>
      </c>
      <c r="J130" s="4">
        <f>SUM(F130+I130)</f>
        <v/>
      </c>
      <c r="K130" s="3" t="inlineStr"/>
    </row>
    <row r="131">
      <c r="A131" s="3" t="n"/>
      <c r="B131" s="3" t="n"/>
      <c r="C131" s="3" t="inlineStr">
        <is>
          <t>廃棄申請モーダル</t>
        </is>
      </c>
      <c r="D131" s="3" t="inlineStr">
        <is>
          <t>廃棄申請登録フォーム</t>
        </is>
      </c>
      <c r="F131" s="4" t="n">
        <v>16</v>
      </c>
      <c r="G131" s="4">
        <f>F131*$G$303</f>
        <v/>
      </c>
      <c r="H131" s="4" t="n">
        <v>5</v>
      </c>
      <c r="I131" s="4">
        <f>H131-2</f>
        <v/>
      </c>
      <c r="J131" s="4">
        <f>SUM(F131+I131)</f>
        <v/>
      </c>
      <c r="K131" s="3" t="inlineStr"/>
    </row>
    <row r="132">
      <c r="A132" s="5" t="n"/>
      <c r="B132" s="5" t="n"/>
      <c r="C132" s="5" t="inlineStr">
        <is>
          <t>借用申請モーダル</t>
        </is>
      </c>
      <c r="D132" s="5" t="inlineStr">
        <is>
          <t>借用申請登録フォーム</t>
        </is>
      </c>
      <c r="F132" s="6" t="n">
        <v>16</v>
      </c>
      <c r="G132" s="6">
        <f>F132*$G$303</f>
        <v/>
      </c>
      <c r="H132" s="6" t="n">
        <v>5</v>
      </c>
      <c r="I132" s="6">
        <f>H132-2</f>
        <v/>
      </c>
      <c r="J132" s="6">
        <f>SUM(F132+I132)</f>
        <v/>
      </c>
      <c r="K132" s="5" t="inlineStr">
        <is>
          <t>NEW</t>
        </is>
      </c>
    </row>
    <row r="133">
      <c r="A133" s="3" t="n"/>
      <c r="B133" s="3" t="inlineStr">
        <is>
          <t>資産詳細</t>
        </is>
      </c>
      <c r="C133" s="3" t="inlineStr">
        <is>
          <t>QRコード検索</t>
        </is>
      </c>
      <c r="D133" s="3" t="inlineStr">
        <is>
          <t>QRコードによる資産検索(カルテ画面へ遷移)</t>
        </is>
      </c>
      <c r="E133" s="14" t="inlineStr">
        <is>
          <t>https://ryota-wata.github.io/medical-device-mgmt/asset-detail</t>
        </is>
      </c>
      <c r="F133" s="4" t="n">
        <v>12</v>
      </c>
      <c r="G133" s="4">
        <f>F133*$G$303</f>
        <v/>
      </c>
      <c r="H133" s="4" t="n">
        <v>4</v>
      </c>
      <c r="I133" s="4">
        <f>H133-2</f>
        <v/>
      </c>
      <c r="J133" s="4">
        <f>SUM(F133+I133)</f>
        <v/>
      </c>
      <c r="K133" s="3" t="inlineStr"/>
    </row>
    <row r="134">
      <c r="A134" s="3" t="n"/>
      <c r="B134" s="3" t="n"/>
      <c r="C134" s="3" t="inlineStr">
        <is>
          <t>資産情報表示</t>
        </is>
      </c>
      <c r="D134" s="3" t="inlineStr">
        <is>
          <t>資産詳細情報表示</t>
        </is>
      </c>
      <c r="F134" s="4" t="n">
        <v>12</v>
      </c>
      <c r="G134" s="4">
        <f>F134*$G$303</f>
        <v/>
      </c>
      <c r="H134" s="4" t="n">
        <v>4</v>
      </c>
      <c r="I134" s="4">
        <f>H134-2</f>
        <v/>
      </c>
      <c r="J134" s="4">
        <f>SUM(F134+I134)</f>
        <v/>
      </c>
      <c r="K134" s="3" t="inlineStr"/>
    </row>
    <row r="135">
      <c r="A135" s="3" t="n"/>
      <c r="B135" s="3" t="n"/>
      <c r="C135" s="3" t="inlineStr">
        <is>
          <t>写真表示</t>
        </is>
      </c>
      <c r="D135" s="3" t="inlineStr">
        <is>
          <t>資産写真ギャラリー表示</t>
        </is>
      </c>
      <c r="F135" s="4" t="n">
        <v>16</v>
      </c>
      <c r="G135" s="4">
        <f>F135*$G$303</f>
        <v/>
      </c>
      <c r="H135" s="4" t="n">
        <v>5</v>
      </c>
      <c r="I135" s="4">
        <f>H135-2</f>
        <v/>
      </c>
      <c r="J135" s="4">
        <f>SUM(F135+I135)</f>
        <v/>
      </c>
      <c r="K135" s="3" t="inlineStr"/>
    </row>
    <row r="136">
      <c r="A136" s="3" t="n"/>
      <c r="B136" s="3" t="n"/>
      <c r="C136" s="3" t="inlineStr">
        <is>
          <t>写真スライドショー</t>
        </is>
      </c>
      <c r="D136" s="3" t="inlineStr">
        <is>
          <t>写真前後ナビゲーション</t>
        </is>
      </c>
      <c r="F136" s="4" t="n">
        <v>16</v>
      </c>
      <c r="G136" s="4">
        <f>F136*$G$303</f>
        <v/>
      </c>
      <c r="H136" s="4" t="n">
        <v>5</v>
      </c>
      <c r="I136" s="4">
        <f>H136-2</f>
        <v/>
      </c>
      <c r="J136" s="4">
        <f>SUM(F136+I136)</f>
        <v/>
      </c>
      <c r="K136" s="3" t="inlineStr"/>
    </row>
    <row r="137">
      <c r="A137" s="3" t="n"/>
      <c r="B137" s="3" t="n"/>
      <c r="C137" s="3" t="inlineStr">
        <is>
          <t>写真アップロード</t>
        </is>
      </c>
      <c r="D137" s="3" t="inlineStr">
        <is>
          <t>資産写真アップロード</t>
        </is>
      </c>
      <c r="F137" s="4" t="n">
        <v>16</v>
      </c>
      <c r="G137" s="4">
        <f>F137*$G$303</f>
        <v/>
      </c>
      <c r="H137" s="4" t="n">
        <v>5</v>
      </c>
      <c r="I137" s="4">
        <f>H137-2</f>
        <v/>
      </c>
      <c r="J137" s="4">
        <f>SUM(F137+I137)</f>
        <v/>
      </c>
      <c r="K137" s="3" t="inlineStr"/>
    </row>
    <row r="138">
      <c r="A138" s="3" t="n"/>
      <c r="B138" s="3" t="n"/>
      <c r="C138" s="3" t="inlineStr">
        <is>
          <t>写真削除</t>
        </is>
      </c>
      <c r="D138" s="3" t="inlineStr">
        <is>
          <t>資産写真削除</t>
        </is>
      </c>
      <c r="F138" s="4" t="n">
        <v>8</v>
      </c>
      <c r="G138" s="4">
        <f>F138*$G$303</f>
        <v/>
      </c>
      <c r="H138" s="4" t="n">
        <v>2.5</v>
      </c>
      <c r="I138" s="4">
        <f>H138-2</f>
        <v/>
      </c>
      <c r="J138" s="4">
        <f>SUM(F138+I138)</f>
        <v/>
      </c>
      <c r="K138" s="3" t="inlineStr"/>
    </row>
    <row r="139">
      <c r="A139" s="3" t="n"/>
      <c r="B139" s="3" t="n"/>
      <c r="C139" s="3" t="inlineStr">
        <is>
          <t>編集モード</t>
        </is>
      </c>
      <c r="D139" s="3" t="inlineStr">
        <is>
          <t>資産情報インライン編集モード</t>
        </is>
      </c>
      <c r="F139" s="4" t="n">
        <v>12</v>
      </c>
      <c r="G139" s="4">
        <f>F139*$G$303</f>
        <v/>
      </c>
      <c r="H139" s="4" t="n">
        <v>4</v>
      </c>
      <c r="I139" s="4">
        <f>H139-2</f>
        <v/>
      </c>
      <c r="J139" s="4">
        <f>SUM(F139+I139)</f>
        <v/>
      </c>
      <c r="K139" s="3" t="inlineStr"/>
    </row>
    <row r="140">
      <c r="A140" s="3" t="n"/>
      <c r="B140" s="3" t="n"/>
      <c r="C140" s="3" t="inlineStr">
        <is>
          <t>読み取り専用モード</t>
        </is>
      </c>
      <c r="D140" s="3" t="inlineStr">
        <is>
          <t>閲覧のみモード（棚卸し・リモデルからの遷移時）</t>
        </is>
      </c>
      <c r="F140" s="4" t="n">
        <v>12</v>
      </c>
      <c r="G140" s="4">
        <f>F140*$G$303</f>
        <v/>
      </c>
      <c r="H140" s="4" t="n">
        <v>4</v>
      </c>
      <c r="I140" s="4">
        <f>H140-2</f>
        <v/>
      </c>
      <c r="J140" s="4">
        <f>SUM(F140+I140)</f>
        <v/>
      </c>
      <c r="K140" s="3" t="inlineStr"/>
    </row>
    <row r="141">
      <c r="A141" s="7" t="inlineStr">
        <is>
          <t>棚卸し</t>
        </is>
      </c>
      <c r="B141" s="5" t="inlineStr">
        <is>
          <t>棚卸し一覧</t>
        </is>
      </c>
      <c r="C141" s="5" t="inlineStr">
        <is>
          <t>ステータスフィルター</t>
        </is>
      </c>
      <c r="D141" s="5" t="inlineStr">
        <is>
          <t>未確認/在庫OK/設置場所変更/廃棄済み/要確認フィルター</t>
        </is>
      </c>
      <c r="E141" s="14" t="inlineStr">
        <is>
          <t>https://ryota-wata.github.io/medical-device-mgmt/inventory</t>
        </is>
      </c>
      <c r="F141" s="6" t="n">
        <v>12</v>
      </c>
      <c r="G141" s="6">
        <f>F141*$G$303</f>
        <v/>
      </c>
      <c r="H141" s="6" t="n">
        <v>4</v>
      </c>
      <c r="I141" s="6">
        <f>H141-2</f>
        <v/>
      </c>
      <c r="J141" s="6">
        <f>SUM(F141+I141)</f>
        <v/>
      </c>
      <c r="K141" s="5" t="inlineStr">
        <is>
          <t>NEW</t>
        </is>
      </c>
    </row>
    <row r="142">
      <c r="A142" s="5" t="n"/>
      <c r="B142" s="5" t="n"/>
      <c r="C142" s="5" t="inlineStr">
        <is>
          <t>属性フィルター</t>
        </is>
      </c>
      <c r="D142" s="5" t="inlineStr">
        <is>
          <t>Category・部門・部署等フィルター</t>
        </is>
      </c>
      <c r="F142" s="6" t="n">
        <v>12</v>
      </c>
      <c r="G142" s="6">
        <f>F142*$G$303</f>
        <v/>
      </c>
      <c r="H142" s="6" t="n">
        <v>4</v>
      </c>
      <c r="I142" s="6">
        <f>H142-2</f>
        <v/>
      </c>
      <c r="J142" s="6">
        <f>SUM(F142+I142)</f>
        <v/>
      </c>
      <c r="K142" s="5" t="inlineStr">
        <is>
          <t>NEW</t>
        </is>
      </c>
    </row>
    <row r="143">
      <c r="A143" s="5" t="n"/>
      <c r="B143" s="5" t="n"/>
      <c r="C143" s="5" t="inlineStr">
        <is>
          <t>テーブル表示</t>
        </is>
      </c>
      <c r="D143" s="5" t="inlineStr">
        <is>
          <t>資産一覧テーブル（ステータスバッジ付き）</t>
        </is>
      </c>
      <c r="F143" s="6" t="n">
        <v>12</v>
      </c>
      <c r="G143" s="6">
        <f>F143*$G$303</f>
        <v/>
      </c>
      <c r="H143" s="6" t="n">
        <v>4</v>
      </c>
      <c r="I143" s="6">
        <f>H143-2</f>
        <v/>
      </c>
      <c r="J143" s="6">
        <f>SUM(F143+I143)</f>
        <v/>
      </c>
      <c r="K143" s="5" t="inlineStr">
        <is>
          <t>NEW</t>
        </is>
      </c>
    </row>
    <row r="144">
      <c r="A144" s="5" t="n"/>
      <c r="B144" s="5" t="n"/>
      <c r="C144" s="5" t="inlineStr">
        <is>
          <t>資産確認操作</t>
        </is>
      </c>
      <c r="D144" s="5" t="inlineStr">
        <is>
          <t>ステータス変更（在庫OK・設置場所変更・廃棄済み・要確認）</t>
        </is>
      </c>
      <c r="F144" s="6" t="n">
        <v>16</v>
      </c>
      <c r="G144" s="6">
        <f>F144*$G$303</f>
        <v/>
      </c>
      <c r="H144" s="6" t="n">
        <v>5</v>
      </c>
      <c r="I144" s="6">
        <f>H144-2</f>
        <v/>
      </c>
      <c r="J144" s="6">
        <f>SUM(F144+I144)</f>
        <v/>
      </c>
      <c r="K144" s="5" t="inlineStr">
        <is>
          <t>NEW</t>
        </is>
      </c>
    </row>
    <row r="145">
      <c r="A145" s="5" t="n"/>
      <c r="B145" s="5" t="n"/>
      <c r="C145" s="5" t="inlineStr">
        <is>
          <t>設置場所変更入力</t>
        </is>
      </c>
      <c r="D145" s="5" t="inlineStr">
        <is>
          <t>棟・階・部門・部署・室名の変更入力</t>
        </is>
      </c>
      <c r="F145" s="6" t="n">
        <v>12</v>
      </c>
      <c r="G145" s="6">
        <f>F145*$G$303</f>
        <v/>
      </c>
      <c r="H145" s="6" t="n">
        <v>4</v>
      </c>
      <c r="I145" s="6">
        <f>H145-2</f>
        <v/>
      </c>
      <c r="J145" s="6">
        <f>SUM(F145+I145)</f>
        <v/>
      </c>
      <c r="K145" s="5" t="inlineStr">
        <is>
          <t>NEW</t>
        </is>
      </c>
    </row>
    <row r="146">
      <c r="A146" s="5" t="n"/>
      <c r="B146" s="5" t="n"/>
      <c r="C146" s="5" t="inlineStr">
        <is>
          <t>廃棄理由入力</t>
        </is>
      </c>
      <c r="D146" s="5" t="inlineStr">
        <is>
          <t>廃棄済み選択時の理由入力</t>
        </is>
      </c>
      <c r="F146" s="6" t="n">
        <v>8</v>
      </c>
      <c r="G146" s="6">
        <f>F146*$G$303</f>
        <v/>
      </c>
      <c r="H146" s="6" t="n">
        <v>2.5</v>
      </c>
      <c r="I146" s="6">
        <f>H146-2</f>
        <v/>
      </c>
      <c r="J146" s="6">
        <f>SUM(F146+I146)</f>
        <v/>
      </c>
      <c r="K146" s="5" t="inlineStr">
        <is>
          <t>NEW</t>
        </is>
      </c>
    </row>
    <row r="147">
      <c r="A147" s="5" t="n"/>
      <c r="B147" s="5" t="n"/>
      <c r="C147" s="5" t="inlineStr">
        <is>
          <t>移動申請連携</t>
        </is>
      </c>
      <c r="D147" s="5" t="inlineStr">
        <is>
          <t>設置場所変更資産の移動申請モーダル表示</t>
        </is>
      </c>
      <c r="F147" s="6" t="n">
        <v>16</v>
      </c>
      <c r="G147" s="6">
        <f>F147*$G$303</f>
        <v/>
      </c>
      <c r="H147" s="6" t="n">
        <v>5</v>
      </c>
      <c r="I147" s="6">
        <f>H147-2</f>
        <v/>
      </c>
      <c r="J147" s="6">
        <f>SUM(F147+I147)</f>
        <v/>
      </c>
      <c r="K147" s="5" t="inlineStr">
        <is>
          <t>NEW</t>
        </is>
      </c>
    </row>
    <row r="148">
      <c r="A148" s="5" t="n"/>
      <c r="B148" s="5" t="n"/>
      <c r="C148" s="5" t="inlineStr">
        <is>
          <t>廃棄申請連携</t>
        </is>
      </c>
      <c r="D148" s="5" t="inlineStr">
        <is>
          <t>廃棄済み資産の廃棄申請モーダル表示</t>
        </is>
      </c>
      <c r="F148" s="6" t="n">
        <v>16</v>
      </c>
      <c r="G148" s="6">
        <f>F148*$G$303</f>
        <v/>
      </c>
      <c r="H148" s="6" t="n">
        <v>5</v>
      </c>
      <c r="I148" s="6">
        <f>H148-2</f>
        <v/>
      </c>
      <c r="J148" s="6">
        <f>SUM(F148+I148)</f>
        <v/>
      </c>
      <c r="K148" s="5" t="inlineStr">
        <is>
          <t>NEW</t>
        </is>
      </c>
    </row>
    <row r="149">
      <c r="A149" s="5" t="n"/>
      <c r="B149" s="5" t="n"/>
      <c r="C149" s="5" t="inlineStr">
        <is>
          <t>Excelエクスポート</t>
        </is>
      </c>
      <c r="D149" s="5" t="inlineStr">
        <is>
          <t>棚卸し結果のExcel出力</t>
        </is>
      </c>
      <c r="F149" s="6" t="n">
        <v>12</v>
      </c>
      <c r="G149" s="6">
        <f>F149*$G$303</f>
        <v/>
      </c>
      <c r="H149" s="6" t="n">
        <v>4</v>
      </c>
      <c r="I149" s="6">
        <f>H149-2</f>
        <v/>
      </c>
      <c r="J149" s="6">
        <f>SUM(F149+I149)</f>
        <v/>
      </c>
      <c r="K149" s="5" t="inlineStr">
        <is>
          <t>NEW</t>
        </is>
      </c>
    </row>
    <row r="150">
      <c r="A150" s="5" t="n"/>
      <c r="B150" s="5" t="n"/>
      <c r="C150" s="5" t="inlineStr">
        <is>
          <t>進捗表示</t>
        </is>
      </c>
      <c r="D150" s="5" t="inlineStr">
        <is>
          <t>確認済み/未確認の進捗表示</t>
        </is>
      </c>
      <c r="F150" s="6" t="n">
        <v>12</v>
      </c>
      <c r="G150" s="6">
        <f>F150*$G$303</f>
        <v/>
      </c>
      <c r="H150" s="6" t="n">
        <v>4</v>
      </c>
      <c r="I150" s="6">
        <f>H150-2</f>
        <v/>
      </c>
      <c r="J150" s="6">
        <f>SUM(F150+I150)</f>
        <v/>
      </c>
      <c r="K150" s="5" t="inlineStr">
        <is>
          <t>NEW</t>
        </is>
      </c>
    </row>
    <row r="151">
      <c r="A151" s="2" t="inlineStr">
        <is>
          <t>リモデル申請管理</t>
        </is>
      </c>
      <c r="B151" s="3" t="inlineStr">
        <is>
          <t>編集リスト管理</t>
        </is>
      </c>
      <c r="C151" s="3" t="inlineStr">
        <is>
          <t>申請情報入力フォーム</t>
        </is>
      </c>
      <c r="D151" s="3" t="inlineStr">
        <is>
          <t>申請基本情報入力</t>
        </is>
      </c>
      <c r="E151" s="14" t="inlineStr">
        <is>
          <t>https://ryota-wata.github.io/medical-device-mgmt/remodel-application</t>
        </is>
      </c>
      <c r="F151" s="4" t="n">
        <v>16</v>
      </c>
      <c r="G151" s="4">
        <f>F151*$G$303</f>
        <v/>
      </c>
      <c r="H151" s="4" t="n">
        <v>5</v>
      </c>
      <c r="I151" s="4">
        <f>H151-2</f>
        <v/>
      </c>
      <c r="J151" s="4">
        <f>SUM(F151+I151)</f>
        <v/>
      </c>
      <c r="K151" s="3" t="inlineStr"/>
    </row>
    <row r="152">
      <c r="A152" s="3" t="n"/>
      <c r="B152" s="3" t="n"/>
      <c r="C152" s="3" t="inlineStr">
        <is>
          <t>位置情報選択</t>
        </is>
      </c>
      <c r="D152" s="3" t="inlineStr">
        <is>
          <t>棟・階・部門・部署・室名選択（施設マスタ連動）</t>
        </is>
      </c>
      <c r="F152" s="4" t="n">
        <v>12</v>
      </c>
      <c r="G152" s="4">
        <f>F152*$G$303</f>
        <v/>
      </c>
      <c r="H152" s="4" t="n">
        <v>4</v>
      </c>
      <c r="I152" s="4">
        <f>H152-2</f>
        <v/>
      </c>
      <c r="J152" s="4">
        <f>SUM(F152+I152)</f>
        <v/>
      </c>
      <c r="K152" s="3" t="inlineStr"/>
    </row>
    <row r="153">
      <c r="A153" s="3" t="n"/>
      <c r="B153" s="3" t="n"/>
      <c r="C153" s="3" t="inlineStr">
        <is>
          <t>資産選択</t>
        </is>
      </c>
      <c r="D153" s="3" t="inlineStr">
        <is>
          <t>申請対象資産選択</t>
        </is>
      </c>
      <c r="F153" s="4" t="n">
        <v>12</v>
      </c>
      <c r="G153" s="4">
        <f>F153*$G$303</f>
        <v/>
      </c>
      <c r="H153" s="4" t="n">
        <v>4</v>
      </c>
      <c r="I153" s="4">
        <f>H153-2</f>
        <v/>
      </c>
      <c r="J153" s="4">
        <f>SUM(F153+I153)</f>
        <v/>
      </c>
      <c r="K153" s="3" t="inlineStr"/>
    </row>
    <row r="154">
      <c r="A154" s="3" t="n"/>
      <c r="B154" s="3" t="n"/>
      <c r="C154" s="3" t="inlineStr">
        <is>
          <t>新規申請モーダル</t>
        </is>
      </c>
      <c r="D154" s="3" t="inlineStr">
        <is>
          <t>新規申請登録フォーム</t>
        </is>
      </c>
      <c r="F154" s="4" t="n">
        <v>16</v>
      </c>
      <c r="G154" s="4">
        <f>F154*$G$303</f>
        <v/>
      </c>
      <c r="H154" s="4" t="n">
        <v>5</v>
      </c>
      <c r="I154" s="4">
        <f>H154-2</f>
        <v/>
      </c>
      <c r="J154" s="4">
        <f>SUM(F154+I154)</f>
        <v/>
      </c>
      <c r="K154" s="3" t="inlineStr"/>
    </row>
    <row r="155">
      <c r="A155" s="3" t="n"/>
      <c r="B155" s="3" t="n"/>
      <c r="C155" s="3" t="inlineStr">
        <is>
          <t>増設申請モーダル</t>
        </is>
      </c>
      <c r="D155" s="3" t="inlineStr">
        <is>
          <t>増設申請登録フォーム</t>
        </is>
      </c>
      <c r="F155" s="4" t="n">
        <v>16</v>
      </c>
      <c r="G155" s="4">
        <f>F155*$G$303</f>
        <v/>
      </c>
      <c r="H155" s="4" t="n">
        <v>5</v>
      </c>
      <c r="I155" s="4">
        <f>H155-2</f>
        <v/>
      </c>
      <c r="J155" s="4">
        <f>SUM(F155+I155)</f>
        <v/>
      </c>
      <c r="K155" s="3" t="inlineStr"/>
    </row>
    <row r="156">
      <c r="A156" s="3" t="n"/>
      <c r="B156" s="3" t="n"/>
      <c r="C156" s="3" t="inlineStr">
        <is>
          <t>更新申請モーダル</t>
        </is>
      </c>
      <c r="D156" s="3" t="inlineStr">
        <is>
          <t>更新申請登録フォーム</t>
        </is>
      </c>
      <c r="F156" s="4" t="n">
        <v>16</v>
      </c>
      <c r="G156" s="4">
        <f>F156*$G$303</f>
        <v/>
      </c>
      <c r="H156" s="4" t="n">
        <v>5</v>
      </c>
      <c r="I156" s="4">
        <f>H156-2</f>
        <v/>
      </c>
      <c r="J156" s="4">
        <f>SUM(F156+I156)</f>
        <v/>
      </c>
      <c r="K156" s="3" t="inlineStr"/>
    </row>
    <row r="157">
      <c r="A157" s="3" t="n"/>
      <c r="B157" s="3" t="n"/>
      <c r="C157" s="3" t="inlineStr">
        <is>
          <t>移動申請モーダル</t>
        </is>
      </c>
      <c r="D157" s="3" t="inlineStr">
        <is>
          <t>移動申請登録フォーム（施設マスタ旧→新マッピング自動適用）</t>
        </is>
      </c>
      <c r="F157" s="4" t="n">
        <v>16</v>
      </c>
      <c r="G157" s="4">
        <f>F157*$G$303</f>
        <v/>
      </c>
      <c r="H157" s="4" t="n">
        <v>5</v>
      </c>
      <c r="I157" s="4">
        <f>H157-2</f>
        <v/>
      </c>
      <c r="J157" s="4">
        <f>SUM(F157+I157)</f>
        <v/>
      </c>
      <c r="K157" s="3" t="inlineStr"/>
    </row>
    <row r="158">
      <c r="A158" s="3" t="n"/>
      <c r="B158" s="3" t="n"/>
      <c r="C158" s="3" t="inlineStr">
        <is>
          <t>廃棄申請モーダル</t>
        </is>
      </c>
      <c r="D158" s="3" t="inlineStr">
        <is>
          <t>廃棄申請登録フォーム</t>
        </is>
      </c>
      <c r="F158" s="4" t="n">
        <v>16</v>
      </c>
      <c r="G158" s="4">
        <f>F158*$G$303</f>
        <v/>
      </c>
      <c r="H158" s="4" t="n">
        <v>5</v>
      </c>
      <c r="I158" s="4">
        <f>H158-2</f>
        <v/>
      </c>
      <c r="J158" s="4">
        <f>SUM(F158+I158)</f>
        <v/>
      </c>
      <c r="K158" s="3" t="inlineStr"/>
    </row>
    <row r="159">
      <c r="A159" s="3" t="n"/>
      <c r="B159" s="3" t="n"/>
      <c r="C159" s="3" t="inlineStr">
        <is>
          <t>保留設定</t>
        </is>
      </c>
      <c r="D159" s="3" t="inlineStr">
        <is>
          <t>申請保留設定</t>
        </is>
      </c>
      <c r="F159" s="4" t="n">
        <v>12</v>
      </c>
      <c r="G159" s="4">
        <f>F159*$G$303</f>
        <v/>
      </c>
      <c r="H159" s="4" t="n">
        <v>4</v>
      </c>
      <c r="I159" s="4">
        <f>H159-2</f>
        <v/>
      </c>
      <c r="J159" s="4">
        <f>SUM(F159+I159)</f>
        <v/>
      </c>
      <c r="K159" s="3" t="inlineStr"/>
    </row>
    <row r="160">
      <c r="A160" s="3" t="n"/>
      <c r="B160" s="3" t="n"/>
      <c r="C160" s="3" t="inlineStr">
        <is>
          <t>見積紐付けモーダル</t>
        </is>
      </c>
      <c r="D160" s="3" t="inlineStr">
        <is>
          <t>見積と申請の紐付け</t>
        </is>
      </c>
      <c r="F160" s="4" t="n">
        <v>16</v>
      </c>
      <c r="G160" s="4">
        <f>F160*$G$303</f>
        <v/>
      </c>
      <c r="H160" s="4" t="n">
        <v>5</v>
      </c>
      <c r="I160" s="4">
        <f>H160-2</f>
        <v/>
      </c>
      <c r="J160" s="4">
        <f>SUM(F160+I160)</f>
        <v/>
      </c>
      <c r="K160" s="3" t="inlineStr"/>
    </row>
    <row r="161">
      <c r="A161" s="3" t="n"/>
      <c r="B161" s="3" t="n"/>
      <c r="C161" s="3" t="inlineStr">
        <is>
          <t>見積依頼グループ登録</t>
        </is>
      </c>
      <c r="D161" s="3" t="inlineStr">
        <is>
          <t>見積依頼グループ作成（RfqGroupModal）</t>
        </is>
      </c>
      <c r="F161" s="4" t="n">
        <v>16</v>
      </c>
      <c r="G161" s="4">
        <f>F161*$G$303</f>
        <v/>
      </c>
      <c r="H161" s="4" t="n">
        <v>5</v>
      </c>
      <c r="I161" s="4">
        <f>H161-2</f>
        <v/>
      </c>
      <c r="J161" s="4">
        <f>SUM(F161+I161)</f>
        <v/>
      </c>
      <c r="K161" s="3" t="inlineStr"/>
    </row>
    <row r="162">
      <c r="A162" s="3" t="n"/>
      <c r="B162" s="3" t="n"/>
      <c r="C162" s="3" t="inlineStr">
        <is>
          <t>リモデルクローズ</t>
        </is>
      </c>
      <c r="D162" s="3" t="inlineStr">
        <is>
          <t>リモデル完了処理・個別施設マスタの新居設置情報を現状設置情報に更新</t>
        </is>
      </c>
      <c r="F162" s="4" t="n">
        <v>12</v>
      </c>
      <c r="G162" s="4">
        <f>F162*$G$303</f>
        <v/>
      </c>
      <c r="H162" s="4" t="n">
        <v>4</v>
      </c>
      <c r="I162" s="4">
        <f>H162-2</f>
        <v/>
      </c>
      <c r="J162" s="4">
        <f>SUM(F162+I162)</f>
        <v/>
      </c>
      <c r="K162" s="3" t="inlineStr"/>
    </row>
    <row r="163">
      <c r="A163" s="3" t="n"/>
      <c r="B163" s="3" t="n"/>
      <c r="C163" s="3" t="inlineStr">
        <is>
          <t>ビュー切替</t>
        </is>
      </c>
      <c r="D163" s="3" t="inlineStr">
        <is>
          <t>リスト/カード表示切替</t>
        </is>
      </c>
      <c r="F163" s="4" t="n">
        <v>16</v>
      </c>
      <c r="G163" s="4">
        <f>F163*$G$303</f>
        <v/>
      </c>
      <c r="H163" s="4" t="n">
        <v>5</v>
      </c>
      <c r="I163" s="4">
        <f>H163-2</f>
        <v/>
      </c>
      <c r="J163" s="4">
        <f>SUM(F163+I163)</f>
        <v/>
      </c>
      <c r="K163" s="3" t="inlineStr"/>
    </row>
    <row r="164">
      <c r="A164" s="3" t="n"/>
      <c r="B164" s="3" t="n"/>
      <c r="C164" s="3" t="inlineStr">
        <is>
          <t>カラム設定</t>
        </is>
      </c>
      <c r="D164" s="3" t="inlineStr">
        <is>
          <t>表示カラム設定/ブックマーク機能(作成・削除)</t>
        </is>
      </c>
      <c r="F164" s="4" t="n">
        <v>12</v>
      </c>
      <c r="G164" s="4">
        <f>F164*$G$303</f>
        <v/>
      </c>
      <c r="H164" s="4" t="n">
        <v>4</v>
      </c>
      <c r="I164" s="4">
        <f>H164-2</f>
        <v/>
      </c>
      <c r="J164" s="4">
        <f>SUM(F164+I164)</f>
        <v/>
      </c>
      <c r="K164" s="3" t="inlineStr"/>
    </row>
    <row r="165">
      <c r="A165" s="3" t="n"/>
      <c r="B165" s="3" t="n"/>
      <c r="C165" s="3" t="inlineStr">
        <is>
          <t>進捗表示</t>
        </is>
      </c>
      <c r="D165" s="3" t="inlineStr">
        <is>
          <t>未申請/申請中/執行済み進捗表示</t>
        </is>
      </c>
      <c r="F165" s="4" t="n">
        <v>12</v>
      </c>
      <c r="G165" s="4">
        <f>F165*$G$303</f>
        <v/>
      </c>
      <c r="H165" s="4" t="n">
        <v>4</v>
      </c>
      <c r="I165" s="4">
        <f>H165-2</f>
        <v/>
      </c>
      <c r="J165" s="4">
        <f>SUM(F165+I165)</f>
        <v/>
      </c>
      <c r="K165" s="3" t="inlineStr"/>
    </row>
    <row r="166">
      <c r="A166" s="3" t="n"/>
      <c r="B166" s="3" t="inlineStr">
        <is>
          <t>リモデル申請一覧</t>
        </is>
      </c>
      <c r="C166" s="3" t="inlineStr">
        <is>
          <t>フィルター機能</t>
        </is>
      </c>
      <c r="D166" s="3" t="inlineStr">
        <is>
          <t>棟・階・部門・部署・Category等フィルター</t>
        </is>
      </c>
      <c r="E166" s="14" t="inlineStr">
        <is>
          <t>https://ryota-wata.github.io/medical-device-mgmt/remodel-application</t>
        </is>
      </c>
      <c r="F166" s="4" t="n">
        <v>12</v>
      </c>
      <c r="G166" s="4">
        <f>F166*$G$303</f>
        <v/>
      </c>
      <c r="H166" s="4" t="n">
        <v>4</v>
      </c>
      <c r="I166" s="4">
        <f>H166-2</f>
        <v/>
      </c>
      <c r="J166" s="4">
        <f>SUM(F166+I166)</f>
        <v/>
      </c>
      <c r="K166" s="3" t="inlineStr"/>
    </row>
    <row r="167">
      <c r="A167" s="3" t="n"/>
      <c r="B167" s="3" t="n"/>
      <c r="C167" s="3" t="inlineStr">
        <is>
          <t>テーブル表示</t>
        </is>
      </c>
      <c r="D167" s="3" t="inlineStr">
        <is>
          <t>申請一覧テーブル</t>
        </is>
      </c>
      <c r="F167" s="4" t="n">
        <v>12</v>
      </c>
      <c r="G167" s="4">
        <f>F167*$G$303</f>
        <v/>
      </c>
      <c r="H167" s="4" t="n">
        <v>4</v>
      </c>
      <c r="I167" s="4">
        <f>H167-2</f>
        <v/>
      </c>
      <c r="J167" s="4">
        <f>SUM(F167+I167)</f>
        <v/>
      </c>
      <c r="K167" s="3" t="inlineStr"/>
    </row>
    <row r="168">
      <c r="A168" s="3" t="n"/>
      <c r="B168" s="3" t="n"/>
      <c r="C168" s="3" t="inlineStr">
        <is>
          <t>複数選択</t>
        </is>
      </c>
      <c r="D168" s="3" t="inlineStr">
        <is>
          <t>チェックボックス複数選択</t>
        </is>
      </c>
      <c r="F168" s="4" t="n">
        <v>12</v>
      </c>
      <c r="G168" s="4">
        <f>F168*$G$303</f>
        <v/>
      </c>
      <c r="H168" s="4" t="n">
        <v>4</v>
      </c>
      <c r="I168" s="4">
        <f>H168-2</f>
        <v/>
      </c>
      <c r="J168" s="4">
        <f>SUM(F168+I168)</f>
        <v/>
      </c>
      <c r="K168" s="3" t="inlineStr"/>
    </row>
    <row r="169">
      <c r="A169" s="3" t="n"/>
      <c r="B169" s="3" t="n"/>
      <c r="C169" s="3" t="inlineStr">
        <is>
          <t>別ウィンドウで開く</t>
        </is>
      </c>
      <c r="D169" s="3" t="inlineStr">
        <is>
          <t>別ウィンドウ表示機能</t>
        </is>
      </c>
      <c r="F169" s="4" t="n">
        <v>16</v>
      </c>
      <c r="G169" s="4">
        <f>F169*$G$303</f>
        <v/>
      </c>
      <c r="H169" s="4" t="n">
        <v>5</v>
      </c>
      <c r="I169" s="4">
        <f>H169-2</f>
        <v/>
      </c>
      <c r="J169" s="4">
        <f>SUM(F169+I169)</f>
        <v/>
      </c>
      <c r="K169" s="3" t="inlineStr"/>
    </row>
    <row r="170">
      <c r="A170" s="3" t="n"/>
      <c r="B170" s="3" t="n"/>
      <c r="C170" s="3" t="inlineStr">
        <is>
          <t>見積依頼グループ登録</t>
        </is>
      </c>
      <c r="D170" s="3" t="inlineStr">
        <is>
          <t>見積依頼グループ作成</t>
        </is>
      </c>
      <c r="F170" s="4" t="n">
        <v>16</v>
      </c>
      <c r="G170" s="4">
        <f>F170*$G$303</f>
        <v/>
      </c>
      <c r="H170" s="4" t="n">
        <v>5</v>
      </c>
      <c r="I170" s="4">
        <f>H170-2</f>
        <v/>
      </c>
      <c r="J170" s="4">
        <f>SUM(F170+I170)</f>
        <v/>
      </c>
      <c r="K170" s="3" t="inlineStr"/>
    </row>
    <row r="171">
      <c r="A171" s="3" t="n"/>
      <c r="B171" s="3" t="n"/>
      <c r="C171" s="3" t="inlineStr">
        <is>
          <t>インライン編集</t>
        </is>
      </c>
      <c r="D171" s="3" t="inlineStr">
        <is>
          <t>行データのインライン編集（ダブルクリック）</t>
        </is>
      </c>
      <c r="F171" s="4" t="n">
        <v>12</v>
      </c>
      <c r="G171" s="4">
        <f>F171*$G$303</f>
        <v/>
      </c>
      <c r="H171" s="4" t="n">
        <v>4</v>
      </c>
      <c r="I171" s="4">
        <f>H171-2</f>
        <v/>
      </c>
      <c r="J171" s="4">
        <f>SUM(F171+I171)</f>
        <v/>
      </c>
      <c r="K171" s="3" t="inlineStr"/>
    </row>
    <row r="172">
      <c r="A172" s="3" t="n"/>
      <c r="B172" s="3" t="n"/>
      <c r="C172" s="3" t="inlineStr">
        <is>
          <t>一括編集</t>
        </is>
      </c>
      <c r="D172" s="3" t="inlineStr">
        <is>
          <t>複数選択でセルをクリックすると一括編集モーダル表示・一括更新</t>
        </is>
      </c>
      <c r="F172" s="4" t="n">
        <v>12</v>
      </c>
      <c r="G172" s="4">
        <f>F172*$G$303</f>
        <v/>
      </c>
      <c r="H172" s="4" t="n">
        <v>4</v>
      </c>
      <c r="I172" s="4">
        <f>H172-2</f>
        <v/>
      </c>
      <c r="J172" s="4">
        <f>SUM(F172+I172)</f>
        <v/>
      </c>
      <c r="K172" s="3" t="inlineStr"/>
    </row>
    <row r="173">
      <c r="A173" s="3" t="n"/>
      <c r="B173" s="3" t="n"/>
      <c r="C173" s="3" t="inlineStr">
        <is>
          <t>新規・更新・増設執行モーダル</t>
        </is>
      </c>
      <c r="D173" s="3" t="inlineStr">
        <is>
          <t>原本ドキュメント登録・テンプレート出力：「検収書」・原本リストにレコード追加</t>
        </is>
      </c>
      <c r="F173" s="4" t="n">
        <v>16</v>
      </c>
      <c r="G173" s="4">
        <f>F173*$G$303</f>
        <v/>
      </c>
      <c r="H173" s="4" t="n">
        <v>5</v>
      </c>
      <c r="I173" s="4">
        <f>H173-2</f>
        <v/>
      </c>
      <c r="J173" s="4">
        <f>SUM(F173+I173)</f>
        <v/>
      </c>
      <c r="K173" s="3" t="inlineStr"/>
    </row>
    <row r="174">
      <c r="A174" s="3" t="n"/>
      <c r="B174" s="3" t="n"/>
      <c r="C174" s="3" t="inlineStr">
        <is>
          <t>廃棄執行モーダル</t>
        </is>
      </c>
      <c r="D174" s="3" t="inlineStr">
        <is>
          <t>原本ドキュメント登録・テンプレート出力：「資産除却届」「検収書」・原本リストのレコード削除</t>
        </is>
      </c>
      <c r="F174" s="4" t="n">
        <v>16</v>
      </c>
      <c r="G174" s="4">
        <f>F174*$G$303</f>
        <v/>
      </c>
      <c r="H174" s="4" t="n">
        <v>5</v>
      </c>
      <c r="I174" s="4">
        <f>H174-2</f>
        <v/>
      </c>
      <c r="J174" s="4">
        <f>SUM(F174+I174)</f>
        <v/>
      </c>
      <c r="K174" s="3" t="inlineStr"/>
    </row>
    <row r="175">
      <c r="A175" s="3" t="n"/>
      <c r="B175" s="3" t="n"/>
      <c r="C175" s="3" t="inlineStr">
        <is>
          <t>移動執行モーダル</t>
        </is>
      </c>
      <c r="D175" s="3" t="inlineStr">
        <is>
          <t>原本ドキュメント登録・原本リストのレコード更新</t>
        </is>
      </c>
      <c r="F175" s="4" t="n">
        <v>16</v>
      </c>
      <c r="G175" s="4">
        <f>F175*$G$303</f>
        <v/>
      </c>
      <c r="H175" s="4" t="n">
        <v>5</v>
      </c>
      <c r="I175" s="4">
        <f>H175-2</f>
        <v/>
      </c>
      <c r="J175" s="4">
        <f>SUM(F175+I175)</f>
        <v/>
      </c>
      <c r="K175" s="3" t="inlineStr"/>
    </row>
    <row r="176">
      <c r="A176" s="10" t="inlineStr">
        <is>
          <t>タスク管理</t>
        </is>
      </c>
      <c r="B176" s="11" t="inlineStr">
        <is>
          <t>タスク管理ハブ</t>
        </is>
      </c>
      <c r="C176" s="11" t="inlineStr">
        <is>
          <t>サブタブナビゲーション</t>
        </is>
      </c>
      <c r="D176" s="11" t="inlineStr">
        <is>
          <t>9タブの表示切替（権限別フィルタリング）</t>
        </is>
      </c>
      <c r="E176" s="14" t="inlineStr">
        <is>
          <t>https://ryota-wata.github.io/medical-device-mgmt/quotation-data-box</t>
        </is>
      </c>
      <c r="F176" s="12" t="n">
        <v>12</v>
      </c>
      <c r="G176" s="12">
        <f>F176*$G$303</f>
        <v/>
      </c>
      <c r="H176" s="12" t="n">
        <v>4</v>
      </c>
      <c r="I176" s="12">
        <f>H176-2</f>
        <v/>
      </c>
      <c r="J176" s="12">
        <f>SUM(F176+I176)</f>
        <v/>
      </c>
      <c r="K176" s="11" t="inlineStr">
        <is>
          <t>NEW</t>
        </is>
      </c>
    </row>
    <row r="177">
      <c r="A177" s="5" t="n"/>
      <c r="B177" s="5" t="inlineStr">
        <is>
          <t>リモデル管理タブ</t>
        </is>
      </c>
      <c r="C177" s="5" t="inlineStr">
        <is>
          <t>見積依頼グループ一覧</t>
        </is>
      </c>
      <c r="D177" s="5" t="inlineStr">
        <is>
          <t>編集リスト別の見積依頼グループ管理</t>
        </is>
      </c>
      <c r="E177" s="14" t="inlineStr">
        <is>
          <t>https://ryota-wata.github.io/medical-device-mgmt/quotation-data-box/remodel-management</t>
        </is>
      </c>
      <c r="F177" s="6" t="n">
        <v>12</v>
      </c>
      <c r="G177" s="6">
        <f>F177*$G$303</f>
        <v/>
      </c>
      <c r="H177" s="6" t="n">
        <v>4</v>
      </c>
      <c r="I177" s="6">
        <f>H177-2</f>
        <v/>
      </c>
      <c r="J177" s="6">
        <f>SUM(F177+I177)</f>
        <v/>
      </c>
      <c r="K177" s="5" t="inlineStr">
        <is>
          <t>NEW</t>
        </is>
      </c>
    </row>
    <row r="178">
      <c r="A178" s="5" t="n"/>
      <c r="B178" s="5" t="n"/>
      <c r="C178" s="5" t="inlineStr">
        <is>
          <t>ステータスフィルター</t>
        </is>
      </c>
      <c r="D178" s="5" t="inlineStr">
        <is>
          <t>見積依頼中/見積完了等のフィルター</t>
        </is>
      </c>
      <c r="F178" s="6" t="n">
        <v>12</v>
      </c>
      <c r="G178" s="6">
        <f>F178*$G$303</f>
        <v/>
      </c>
      <c r="H178" s="6" t="n">
        <v>4</v>
      </c>
      <c r="I178" s="6">
        <f>H178-2</f>
        <v/>
      </c>
      <c r="J178" s="6">
        <f>SUM(F178+I178)</f>
        <v/>
      </c>
      <c r="K178" s="5" t="inlineStr">
        <is>
          <t>NEW</t>
        </is>
      </c>
    </row>
    <row r="179">
      <c r="A179" s="5" t="n"/>
      <c r="B179" s="5" t="n"/>
      <c r="C179" s="5" t="inlineStr">
        <is>
          <t>見積書登録</t>
        </is>
      </c>
      <c r="D179" s="5" t="inlineStr">
        <is>
          <t>見積登録ウィザード（5ステップモーダル）の起動</t>
        </is>
      </c>
      <c r="F179" s="6" t="n">
        <v>16</v>
      </c>
      <c r="G179" s="6">
        <f>F179*$G$303</f>
        <v/>
      </c>
      <c r="H179" s="6" t="n">
        <v>5</v>
      </c>
      <c r="I179" s="6">
        <f>H179-2</f>
        <v/>
      </c>
      <c r="J179" s="6">
        <f>SUM(F179+I179)</f>
        <v/>
      </c>
      <c r="K179" s="5" t="inlineStr">
        <is>
          <t>NEW</t>
        </is>
      </c>
    </row>
    <row r="180">
      <c r="A180" s="5" t="n"/>
      <c r="B180" s="5" t="inlineStr">
        <is>
          <t>購入管理タブ</t>
        </is>
      </c>
      <c r="C180" s="5" t="inlineStr">
        <is>
          <t>申請一覧表示</t>
        </is>
      </c>
      <c r="D180" s="5" t="inlineStr">
        <is>
          <t>新規/更新/増設の購入申請一覧</t>
        </is>
      </c>
      <c r="E180" s="14" t="inlineStr">
        <is>
          <t>https://ryota-wata.github.io/medical-device-mgmt/quotation-data-box/purchase-management</t>
        </is>
      </c>
      <c r="F180" s="6" t="n">
        <v>12</v>
      </c>
      <c r="G180" s="6">
        <f>F180*$G$303</f>
        <v/>
      </c>
      <c r="H180" s="6" t="n">
        <v>4</v>
      </c>
      <c r="I180" s="6">
        <f>H180-2</f>
        <v/>
      </c>
      <c r="J180" s="6">
        <f>SUM(F180+I180)</f>
        <v/>
      </c>
      <c r="K180" s="5" t="inlineStr">
        <is>
          <t>NEW</t>
        </is>
      </c>
    </row>
    <row r="181">
      <c r="A181" s="5" t="n"/>
      <c r="B181" s="5" t="n"/>
      <c r="C181" s="5" t="inlineStr">
        <is>
          <t>申請詳細モーダル</t>
        </is>
      </c>
      <c r="D181" s="5" t="inlineStr">
        <is>
          <t>申請内容の詳細表示</t>
        </is>
      </c>
      <c r="F181" s="6" t="n">
        <v>12</v>
      </c>
      <c r="G181" s="6">
        <f>F181*$G$303</f>
        <v/>
      </c>
      <c r="H181" s="6" t="n">
        <v>4</v>
      </c>
      <c r="I181" s="6">
        <f>H181-2</f>
        <v/>
      </c>
      <c r="J181" s="6">
        <f>SUM(F181+I181)</f>
        <v/>
      </c>
      <c r="K181" s="5" t="inlineStr">
        <is>
          <t>NEW</t>
        </is>
      </c>
    </row>
    <row r="182">
      <c r="A182" s="5" t="n"/>
      <c r="B182" s="5" t="n"/>
      <c r="C182" s="5" t="inlineStr">
        <is>
          <t>編集リスト作成</t>
        </is>
      </c>
      <c r="D182" s="5" t="inlineStr">
        <is>
          <t>選択申請から編集リスト作成</t>
        </is>
      </c>
      <c r="F182" s="6" t="n">
        <v>16</v>
      </c>
      <c r="G182" s="6">
        <f>F182*$G$303</f>
        <v/>
      </c>
      <c r="H182" s="6" t="n">
        <v>5</v>
      </c>
      <c r="I182" s="6">
        <f>H182-2</f>
        <v/>
      </c>
      <c r="J182" s="6">
        <f>SUM(F182+I182)</f>
        <v/>
      </c>
      <c r="K182" s="5" t="inlineStr">
        <is>
          <t>NEW</t>
        </is>
      </c>
    </row>
    <row r="183">
      <c r="A183" s="5" t="n"/>
      <c r="B183" s="5" t="n"/>
      <c r="C183" s="5" t="inlineStr">
        <is>
          <t>申請却下</t>
        </is>
      </c>
      <c r="D183" s="5" t="inlineStr">
        <is>
          <t>却下確認ダイアログ・却下処理</t>
        </is>
      </c>
      <c r="F183" s="6" t="n">
        <v>12</v>
      </c>
      <c r="G183" s="6">
        <f>F183*$G$303</f>
        <v/>
      </c>
      <c r="H183" s="6" t="n">
        <v>4</v>
      </c>
      <c r="I183" s="6">
        <f>H183-2</f>
        <v/>
      </c>
      <c r="J183" s="6">
        <f>SUM(F183+I183)</f>
        <v/>
      </c>
      <c r="K183" s="5" t="inlineStr">
        <is>
          <t>NEW</t>
        </is>
      </c>
    </row>
    <row r="184">
      <c r="A184" s="5" t="n"/>
      <c r="B184" s="5" t="n"/>
      <c r="C184" s="5" t="inlineStr">
        <is>
          <t>見積依頼グループ管理</t>
        </is>
      </c>
      <c r="D184" s="5" t="inlineStr">
        <is>
          <t>RFQグループ一覧・ステータス管理</t>
        </is>
      </c>
      <c r="F184" s="6" t="n">
        <v>12</v>
      </c>
      <c r="G184" s="6">
        <f>F184*$G$303</f>
        <v/>
      </c>
      <c r="H184" s="6" t="n">
        <v>4</v>
      </c>
      <c r="I184" s="6">
        <f>H184-2</f>
        <v/>
      </c>
      <c r="J184" s="6">
        <f>SUM(F184+I184)</f>
        <v/>
      </c>
      <c r="K184" s="5" t="inlineStr">
        <is>
          <t>NEW</t>
        </is>
      </c>
    </row>
    <row r="185">
      <c r="A185" s="5" t="n"/>
      <c r="B185" s="5" t="n"/>
      <c r="C185" s="5" t="inlineStr">
        <is>
          <t>見積書登録</t>
        </is>
      </c>
      <c r="D185" s="5" t="inlineStr">
        <is>
          <t>見積登録ウィザード（5ステップモーダル）の起動</t>
        </is>
      </c>
      <c r="F185" s="6" t="n">
        <v>16</v>
      </c>
      <c r="G185" s="6">
        <f>F185*$G$303</f>
        <v/>
      </c>
      <c r="H185" s="6" t="n">
        <v>5</v>
      </c>
      <c r="I185" s="6">
        <f>H185-2</f>
        <v/>
      </c>
      <c r="J185" s="6">
        <f>SUM(F185+I185)</f>
        <v/>
      </c>
      <c r="K185" s="5" t="inlineStr">
        <is>
          <t>NEW</t>
        </is>
      </c>
    </row>
    <row r="186">
      <c r="A186" s="5" t="n"/>
      <c r="B186" s="5" t="inlineStr">
        <is>
          <t>借用管理タブ</t>
        </is>
      </c>
      <c r="C186" s="5" t="inlineStr">
        <is>
          <t>借用申請一覧</t>
        </is>
      </c>
      <c r="D186" s="5" t="inlineStr">
        <is>
          <t>借用申請一覧・ステータス管理</t>
        </is>
      </c>
      <c r="E186" s="14" t="inlineStr">
        <is>
          <t>https://ryota-wata.github.io/medical-device-mgmt/quotation-data-box/borrowing-management</t>
        </is>
      </c>
      <c r="F186" s="6" t="n">
        <v>12</v>
      </c>
      <c r="G186" s="6">
        <f>F186*$G$303</f>
        <v/>
      </c>
      <c r="H186" s="6" t="n">
        <v>4</v>
      </c>
      <c r="I186" s="6">
        <f>H186-2</f>
        <v/>
      </c>
      <c r="J186" s="6">
        <f>SUM(F186+I186)</f>
        <v/>
      </c>
      <c r="K186" s="5" t="inlineStr">
        <is>
          <t>NEW</t>
        </is>
      </c>
    </row>
    <row r="187">
      <c r="A187" s="10" t="inlineStr"/>
      <c r="B187" s="11" t="inlineStr"/>
      <c r="C187" s="11" t="inlineStr">
        <is>
          <t>ステータスフィルター</t>
        </is>
      </c>
      <c r="D187" s="11" t="inlineStr">
        <is>
          <t>申請中/承認済/契約締結/日程確定/貸出中/返却済/却下のフィルター</t>
        </is>
      </c>
      <c r="F187" s="12" t="n">
        <v>12</v>
      </c>
      <c r="G187" s="12">
        <f>F187*$G$303</f>
        <v/>
      </c>
      <c r="H187" s="12" t="n">
        <v>4</v>
      </c>
      <c r="I187" s="12">
        <f>H187-2</f>
        <v/>
      </c>
      <c r="J187" s="12">
        <f>SUM(F187+I187)</f>
        <v/>
      </c>
      <c r="K187" s="11" t="inlineStr">
        <is>
          <t>NEW</t>
        </is>
      </c>
    </row>
    <row r="188">
      <c r="A188" s="10" t="inlineStr"/>
      <c r="B188" s="11" t="inlineStr"/>
      <c r="C188" s="11" t="inlineStr">
        <is>
          <t>借用タスク画面遷移</t>
        </is>
      </c>
      <c r="D188" s="11" t="inlineStr">
        <is>
          <t>借用タスク詳細画面（5ステップ）への遷移</t>
        </is>
      </c>
      <c r="F188" s="12" t="n">
        <v>12</v>
      </c>
      <c r="G188" s="12">
        <f>F188*$G$303</f>
        <v/>
      </c>
      <c r="H188" s="12" t="n">
        <v>4</v>
      </c>
      <c r="I188" s="12">
        <f>H188-2</f>
        <v/>
      </c>
      <c r="J188" s="12">
        <f>SUM(F188+I188)</f>
        <v/>
      </c>
      <c r="K188" s="11" t="inlineStr">
        <is>
          <t>NEW</t>
        </is>
      </c>
    </row>
    <row r="189">
      <c r="A189" s="10" t="inlineStr"/>
      <c r="B189" s="11" t="inlineStr"/>
      <c r="C189" s="11" t="inlineStr">
        <is>
          <t>承認・却下処理</t>
        </is>
      </c>
      <c r="D189" s="11" t="inlineStr">
        <is>
          <t>借用申請の承認/却下（事務管理者権限）</t>
        </is>
      </c>
      <c r="F189" s="12" t="n">
        <v>12</v>
      </c>
      <c r="G189" s="12">
        <f>F189*$G$303</f>
        <v/>
      </c>
      <c r="H189" s="12" t="n">
        <v>4</v>
      </c>
      <c r="I189" s="12">
        <f>H189-2</f>
        <v/>
      </c>
      <c r="J189" s="12">
        <f>SUM(F189+I189)</f>
        <v/>
      </c>
      <c r="K189" s="11" t="inlineStr">
        <is>
          <t>NEW</t>
        </is>
      </c>
    </row>
    <row r="190">
      <c r="A190" s="10" t="inlineStr"/>
      <c r="B190" s="11" t="inlineStr"/>
      <c r="C190" s="11" t="inlineStr">
        <is>
          <t>契約登録</t>
        </is>
      </c>
      <c r="D190" s="11" t="inlineStr">
        <is>
          <t>契約書PDFアップロード・借用条件・費用登録</t>
        </is>
      </c>
      <c r="F190" s="12" t="n">
        <v>16</v>
      </c>
      <c r="G190" s="12">
        <f>F190*$G$303</f>
        <v/>
      </c>
      <c r="H190" s="12" t="n">
        <v>5</v>
      </c>
      <c r="I190" s="12">
        <f>H190-2</f>
        <v/>
      </c>
      <c r="J190" s="12">
        <f>SUM(F190+I190)</f>
        <v/>
      </c>
      <c r="K190" s="11" t="inlineStr">
        <is>
          <t>NEW</t>
        </is>
      </c>
    </row>
    <row r="191">
      <c r="A191" s="10" t="inlineStr"/>
      <c r="B191" s="11" t="inlineStr"/>
      <c r="C191" s="11" t="inlineStr">
        <is>
          <t>日程調整</t>
        </is>
      </c>
      <c r="D191" s="11" t="inlineStr">
        <is>
          <t>納品予定日・引取日設定</t>
        </is>
      </c>
      <c r="F191" s="12" t="n">
        <v>12</v>
      </c>
      <c r="G191" s="12">
        <f>F191*$G$303</f>
        <v/>
      </c>
      <c r="H191" s="12" t="n">
        <v>4</v>
      </c>
      <c r="I191" s="12">
        <f>H191-2</f>
        <v/>
      </c>
      <c r="J191" s="12">
        <f>SUM(F191+I191)</f>
        <v/>
      </c>
      <c r="K191" s="11" t="inlineStr">
        <is>
          <t>NEW</t>
        </is>
      </c>
    </row>
    <row r="192">
      <c r="A192" s="10" t="inlineStr"/>
      <c r="B192" s="11" t="inlineStr"/>
      <c r="C192" s="11" t="inlineStr">
        <is>
          <t>納品確認</t>
        </is>
      </c>
      <c r="D192" s="11" t="inlineStr">
        <is>
          <t>納品確認処理・受領ドキュメント登録</t>
        </is>
      </c>
      <c r="F192" s="12" t="n">
        <v>12</v>
      </c>
      <c r="G192" s="12">
        <f>F192*$G$303</f>
        <v/>
      </c>
      <c r="H192" s="12" t="n">
        <v>4</v>
      </c>
      <c r="I192" s="12">
        <f>H192-2</f>
        <v/>
      </c>
      <c r="J192" s="12">
        <f>SUM(F192+I192)</f>
        <v/>
      </c>
      <c r="K192" s="11" t="inlineStr">
        <is>
          <t>NEW</t>
        </is>
      </c>
    </row>
    <row r="193">
      <c r="A193" s="10" t="inlineStr"/>
      <c r="B193" s="11" t="inlineStr"/>
      <c r="C193" s="11" t="inlineStr">
        <is>
          <t>返却処理</t>
        </is>
      </c>
      <c r="D193" s="11" t="inlineStr">
        <is>
          <t>返却確認・返却日記録・完了処理</t>
        </is>
      </c>
      <c r="F193" s="12" t="n">
        <v>12</v>
      </c>
      <c r="G193" s="12">
        <f>F193*$G$303</f>
        <v/>
      </c>
      <c r="H193" s="12" t="n">
        <v>4</v>
      </c>
      <c r="I193" s="12">
        <f>H193-2</f>
        <v/>
      </c>
      <c r="J193" s="12">
        <f>SUM(F193+I193)</f>
        <v/>
      </c>
      <c r="K193" s="11" t="inlineStr">
        <is>
          <t>NEW</t>
        </is>
      </c>
    </row>
    <row r="194">
      <c r="A194" s="10" t="inlineStr"/>
      <c r="B194" s="11" t="inlineStr"/>
      <c r="C194" s="11" t="inlineStr">
        <is>
          <t>ドキュメント管理</t>
        </is>
      </c>
      <c r="D194" s="11" t="inlineStr">
        <is>
          <t>各ステップの登録書類一覧表示</t>
        </is>
      </c>
      <c r="F194" s="12" t="n">
        <v>12</v>
      </c>
      <c r="G194" s="12">
        <f>F194*$G$303</f>
        <v/>
      </c>
      <c r="H194" s="12" t="n">
        <v>4</v>
      </c>
      <c r="I194" s="12">
        <f>H194-2</f>
        <v/>
      </c>
      <c r="J194" s="12">
        <f>SUM(F194+I194)</f>
        <v/>
      </c>
      <c r="K194" s="11" t="inlineStr">
        <is>
          <t>NEW</t>
        </is>
      </c>
    </row>
    <row r="195">
      <c r="A195" s="5" t="n"/>
      <c r="B195" s="5" t="inlineStr">
        <is>
          <t>移動管理タブ</t>
        </is>
      </c>
      <c r="C195" s="5" t="inlineStr">
        <is>
          <t>移動申請一覧</t>
        </is>
      </c>
      <c r="D195" s="5" t="inlineStr">
        <is>
          <t>移動申請一覧・ステータス管理</t>
        </is>
      </c>
      <c r="E195" s="14" t="inlineStr">
        <is>
          <t>https://ryota-wata.github.io/medical-device-mgmt/quotation-data-box/transfer-management</t>
        </is>
      </c>
      <c r="F195" s="6" t="n">
        <v>12</v>
      </c>
      <c r="G195" s="6">
        <f>F195*$G$303</f>
        <v/>
      </c>
      <c r="H195" s="6" t="n">
        <v>4</v>
      </c>
      <c r="I195" s="6">
        <f>H195-2</f>
        <v/>
      </c>
      <c r="J195" s="6">
        <f>SUM(F195+I195)</f>
        <v/>
      </c>
      <c r="K195" s="5" t="inlineStr">
        <is>
          <t>NEW</t>
        </is>
      </c>
    </row>
    <row r="196">
      <c r="A196" s="5" t="n"/>
      <c r="B196" s="5" t="inlineStr">
        <is>
          <t>廃棄管理タブ</t>
        </is>
      </c>
      <c r="C196" s="5" t="inlineStr">
        <is>
          <t>廃棄申請一覧</t>
        </is>
      </c>
      <c r="D196" s="5" t="inlineStr">
        <is>
          <t>廃棄申請一覧・ステータス管理</t>
        </is>
      </c>
      <c r="E196" s="14" t="inlineStr">
        <is>
          <t>https://ryota-wata.github.io/medical-device-mgmt/quotation-data-box/disposal-management</t>
        </is>
      </c>
      <c r="F196" s="6" t="n">
        <v>12</v>
      </c>
      <c r="G196" s="6">
        <f>F196*$G$303</f>
        <v/>
      </c>
      <c r="H196" s="6" t="n">
        <v>4</v>
      </c>
      <c r="I196" s="6">
        <f>H196-2</f>
        <v/>
      </c>
      <c r="J196" s="6">
        <f>SUM(F196+I196)</f>
        <v/>
      </c>
      <c r="K196" s="5" t="inlineStr">
        <is>
          <t>NEW</t>
        </is>
      </c>
    </row>
    <row r="197">
      <c r="A197" s="5" t="n"/>
      <c r="B197" s="5" t="inlineStr">
        <is>
          <t>修理管理タブ</t>
        </is>
      </c>
      <c r="C197" s="5" t="inlineStr">
        <is>
          <t>修理申請一覧</t>
        </is>
      </c>
      <c r="D197" s="5" t="inlineStr">
        <is>
          <t>修理申請一覧・修理タスク画面への遷移</t>
        </is>
      </c>
      <c r="E197" s="14" t="inlineStr">
        <is>
          <t>https://ryota-wata.github.io/medical-device-mgmt/quotation-data-box/repair-requests</t>
        </is>
      </c>
      <c r="F197" s="6" t="n">
        <v>12</v>
      </c>
      <c r="G197" s="6">
        <f>F197*$G$303</f>
        <v/>
      </c>
      <c r="H197" s="6" t="n">
        <v>4</v>
      </c>
      <c r="I197" s="6">
        <f>H197-2</f>
        <v/>
      </c>
      <c r="J197" s="6">
        <f>SUM(F197+I197)</f>
        <v/>
      </c>
      <c r="K197" s="5" t="inlineStr">
        <is>
          <t>NEW</t>
        </is>
      </c>
    </row>
    <row r="198">
      <c r="A198" s="5" t="n"/>
      <c r="B198" s="5" t="inlineStr">
        <is>
          <t>保守契約管理タブ</t>
        </is>
      </c>
      <c r="C198" s="5" t="inlineStr">
        <is>
          <t>保守契約一覧</t>
        </is>
      </c>
      <c r="D198" s="5" t="inlineStr">
        <is>
          <t>保守契約一覧表示</t>
        </is>
      </c>
      <c r="E198" s="14" t="inlineStr">
        <is>
          <t>https://ryota-wata.github.io/medical-device-mgmt/quotation-data-box/maintenance-contracts</t>
        </is>
      </c>
      <c r="F198" s="6" t="n">
        <v>12</v>
      </c>
      <c r="G198" s="6">
        <f>F198*$G$303</f>
        <v/>
      </c>
      <c r="H198" s="6" t="n">
        <v>4</v>
      </c>
      <c r="I198" s="6">
        <f>H198-2</f>
        <v/>
      </c>
      <c r="J198" s="6">
        <f>SUM(F198+I198)</f>
        <v/>
      </c>
      <c r="K198" s="5" t="inlineStr">
        <is>
          <t>NEW</t>
        </is>
      </c>
    </row>
    <row r="199">
      <c r="A199" s="5" t="n"/>
      <c r="B199" s="5" t="n"/>
      <c r="C199" s="5" t="inlineStr">
        <is>
          <t>保守契約登録モーダル</t>
        </is>
      </c>
      <c r="D199" s="5" t="inlineStr">
        <is>
          <t>保守契約新規登録フォーム</t>
        </is>
      </c>
      <c r="F199" s="6" t="n">
        <v>16</v>
      </c>
      <c r="G199" s="6">
        <f>F199*$G$303</f>
        <v/>
      </c>
      <c r="H199" s="6" t="n">
        <v>5</v>
      </c>
      <c r="I199" s="6">
        <f>H199-2</f>
        <v/>
      </c>
      <c r="J199" s="6">
        <f>SUM(F199+I199)</f>
        <v/>
      </c>
      <c r="K199" s="5" t="inlineStr">
        <is>
          <t>NEW</t>
        </is>
      </c>
    </row>
    <row r="200">
      <c r="A200" s="5" t="n"/>
      <c r="B200" s="5" t="n"/>
      <c r="C200" s="5" t="inlineStr">
        <is>
          <t>契約レビューモーダル</t>
        </is>
      </c>
      <c r="D200" s="5" t="inlineStr">
        <is>
          <t>保守契約内容確認</t>
        </is>
      </c>
      <c r="F200" s="6" t="n">
        <v>12</v>
      </c>
      <c r="G200" s="6">
        <f>F200*$G$303</f>
        <v/>
      </c>
      <c r="H200" s="6" t="n">
        <v>4</v>
      </c>
      <c r="I200" s="6">
        <f>H200-2</f>
        <v/>
      </c>
      <c r="J200" s="6">
        <f>SUM(F200+I200)</f>
        <v/>
      </c>
      <c r="K200" s="5" t="inlineStr">
        <is>
          <t>NEW</t>
        </is>
      </c>
    </row>
    <row r="201">
      <c r="A201" s="5" t="n"/>
      <c r="B201" s="5" t="inlineStr">
        <is>
          <t>点検管理タブ</t>
        </is>
      </c>
      <c r="C201" s="5" t="inlineStr">
        <is>
          <t>点検タスク一覧</t>
        </is>
      </c>
      <c r="D201" s="5" t="inlineStr">
        <is>
          <t>院内点検タスク一覧・フィルター</t>
        </is>
      </c>
      <c r="E201" s="14" t="inlineStr">
        <is>
          <t>https://ryota-wata.github.io/medical-device-mgmt/quotation-data-box/inspection-requests</t>
        </is>
      </c>
      <c r="F201" s="6" t="n">
        <v>12</v>
      </c>
      <c r="G201" s="6">
        <f>F201*$G$303</f>
        <v/>
      </c>
      <c r="H201" s="6" t="n">
        <v>4</v>
      </c>
      <c r="I201" s="6">
        <f>H201-2</f>
        <v/>
      </c>
      <c r="J201" s="6">
        <f>SUM(F201+I201)</f>
        <v/>
      </c>
      <c r="K201" s="5" t="inlineStr">
        <is>
          <t>NEW</t>
        </is>
      </c>
    </row>
    <row r="202">
      <c r="A202" s="5" t="n"/>
      <c r="B202" s="5" t="n"/>
      <c r="C202" s="5" t="inlineStr">
        <is>
          <t>点検実施モーダル</t>
        </is>
      </c>
      <c r="D202" s="5" t="inlineStr">
        <is>
          <t>点検実施記録モーダル</t>
        </is>
      </c>
      <c r="F202" s="6" t="n">
        <v>16</v>
      </c>
      <c r="G202" s="6">
        <f>F202*$G$303</f>
        <v/>
      </c>
      <c r="H202" s="6" t="n">
        <v>5</v>
      </c>
      <c r="I202" s="6">
        <f>H202-2</f>
        <v/>
      </c>
      <c r="J202" s="6">
        <f>SUM(F202+I202)</f>
        <v/>
      </c>
      <c r="K202" s="5" t="inlineStr">
        <is>
          <t>NEW</t>
        </is>
      </c>
    </row>
    <row r="203">
      <c r="A203" s="5" t="n"/>
      <c r="B203" s="5" t="n"/>
      <c r="C203" s="5" t="inlineStr">
        <is>
          <t>点検メニュー管理</t>
        </is>
      </c>
      <c r="D203" s="5" t="inlineStr">
        <is>
          <t>点検メニュー作成・編集モーダル</t>
        </is>
      </c>
      <c r="F203" s="6" t="n">
        <v>16</v>
      </c>
      <c r="G203" s="6">
        <f>F203*$G$303</f>
        <v/>
      </c>
      <c r="H203" s="6" t="n">
        <v>5</v>
      </c>
      <c r="I203" s="6">
        <f>H203-2</f>
        <v/>
      </c>
      <c r="J203" s="6">
        <f>SUM(F203+I203)</f>
        <v/>
      </c>
      <c r="K203" s="5" t="inlineStr">
        <is>
          <t>NEW</t>
        </is>
      </c>
    </row>
    <row r="204">
      <c r="A204" s="5" t="n"/>
      <c r="B204" s="5" t="n"/>
      <c r="C204" s="5" t="inlineStr">
        <is>
          <t>点検登録モーダル</t>
        </is>
      </c>
      <c r="D204" s="5" t="inlineStr">
        <is>
          <t>資産への点検タスク登録</t>
        </is>
      </c>
      <c r="F204" s="6" t="n">
        <v>16</v>
      </c>
      <c r="G204" s="6">
        <f>F204*$G$303</f>
        <v/>
      </c>
      <c r="H204" s="6" t="n">
        <v>5</v>
      </c>
      <c r="I204" s="6">
        <f>H204-2</f>
        <v/>
      </c>
      <c r="J204" s="6">
        <f>SUM(F204+I204)</f>
        <v/>
      </c>
      <c r="K204" s="5" t="inlineStr">
        <is>
          <t>NEW</t>
        </is>
      </c>
    </row>
    <row r="205">
      <c r="A205" s="5" t="n"/>
      <c r="B205" s="5" t="n"/>
      <c r="C205" s="5" t="inlineStr">
        <is>
          <t>スキップ・日程調整</t>
        </is>
      </c>
      <c r="D205" s="5" t="inlineStr">
        <is>
          <t>点検スキップ・日程変更操作</t>
        </is>
      </c>
      <c r="F205" s="6" t="n">
        <v>12</v>
      </c>
      <c r="G205" s="6">
        <f>F205*$G$303</f>
        <v/>
      </c>
      <c r="H205" s="6" t="n">
        <v>4</v>
      </c>
      <c r="I205" s="6">
        <f>H205-2</f>
        <v/>
      </c>
      <c r="J205" s="6">
        <f>SUM(F205+I205)</f>
        <v/>
      </c>
      <c r="K205" s="5" t="inlineStr">
        <is>
          <t>NEW</t>
        </is>
      </c>
    </row>
    <row r="206">
      <c r="A206" s="5" t="n"/>
      <c r="B206" s="5" t="inlineStr">
        <is>
          <t>貸出管理タブ</t>
        </is>
      </c>
      <c r="C206" s="5" t="inlineStr">
        <is>
          <t>貸出機器一覧</t>
        </is>
      </c>
      <c r="D206" s="5" t="inlineStr">
        <is>
          <t>貸出機器一覧・フィルター</t>
        </is>
      </c>
      <c r="E206" s="14" t="inlineStr">
        <is>
          <t>https://ryota-wata.github.io/medical-device-mgmt/quotation-data-box/lending-management</t>
        </is>
      </c>
      <c r="F206" s="6" t="n">
        <v>12</v>
      </c>
      <c r="G206" s="6">
        <f>F206*$G$303</f>
        <v/>
      </c>
      <c r="H206" s="6" t="n">
        <v>4</v>
      </c>
      <c r="I206" s="6">
        <f>H206-2</f>
        <v/>
      </c>
      <c r="J206" s="6">
        <f>SUM(F206+I206)</f>
        <v/>
      </c>
      <c r="K206" s="5" t="inlineStr">
        <is>
          <t>NEW</t>
        </is>
      </c>
    </row>
    <row r="207">
      <c r="A207" s="5" t="n"/>
      <c r="B207" s="5" t="n"/>
      <c r="C207" s="5" t="inlineStr">
        <is>
          <t>返却期間設定</t>
        </is>
      </c>
      <c r="D207" s="5" t="inlineStr">
        <is>
          <t>返却期限の一括設定</t>
        </is>
      </c>
      <c r="F207" s="6" t="n">
        <v>12</v>
      </c>
      <c r="G207" s="6">
        <f>F207*$G$303</f>
        <v/>
      </c>
      <c r="H207" s="6" t="n">
        <v>4</v>
      </c>
      <c r="I207" s="6">
        <f>H207-2</f>
        <v/>
      </c>
      <c r="J207" s="6">
        <f>SUM(F207+I207)</f>
        <v/>
      </c>
      <c r="K207" s="5" t="inlineStr">
        <is>
          <t>NEW</t>
        </is>
      </c>
    </row>
    <row r="208">
      <c r="A208" s="5" t="n"/>
      <c r="B208" s="5" t="n"/>
      <c r="C208" s="5" t="inlineStr">
        <is>
          <t>定数機器設定</t>
        </is>
      </c>
      <c r="D208" s="5" t="inlineStr">
        <is>
          <t>定数管理の設定</t>
        </is>
      </c>
      <c r="F208" s="6" t="n">
        <v>12</v>
      </c>
      <c r="G208" s="6">
        <f>F208*$G$303</f>
        <v/>
      </c>
      <c r="H208" s="6" t="n">
        <v>4</v>
      </c>
      <c r="I208" s="6">
        <f>H208-2</f>
        <v/>
      </c>
      <c r="J208" s="6">
        <f>SUM(F208+I208)</f>
        <v/>
      </c>
      <c r="K208" s="5" t="inlineStr">
        <is>
          <t>NEW</t>
        </is>
      </c>
    </row>
    <row r="209">
      <c r="A209" s="5" t="n"/>
      <c r="B209" s="5" t="n"/>
      <c r="C209" s="5" t="inlineStr">
        <is>
          <t>機器追加モーダル</t>
        </is>
      </c>
      <c r="D209" s="5" t="inlineStr">
        <is>
          <t>貸出対象機器の追加</t>
        </is>
      </c>
      <c r="F209" s="6" t="n">
        <v>16</v>
      </c>
      <c r="G209" s="6">
        <f>F209*$G$303</f>
        <v/>
      </c>
      <c r="H209" s="6" t="n">
        <v>5</v>
      </c>
      <c r="I209" s="6">
        <f>H209-2</f>
        <v/>
      </c>
      <c r="J209" s="6">
        <f>SUM(F209+I209)</f>
        <v/>
      </c>
      <c r="K209" s="5" t="inlineStr">
        <is>
          <t>NEW</t>
        </is>
      </c>
    </row>
    <row r="210">
      <c r="A210" s="10" t="inlineStr">
        <is>
          <t>見積管理</t>
        </is>
      </c>
      <c r="B210" s="11" t="inlineStr">
        <is>
          <t>見積管理画面</t>
        </is>
      </c>
      <c r="C210" s="11" t="inlineStr">
        <is>
          <t>タブ切替</t>
        </is>
      </c>
      <c r="D210" s="11" t="inlineStr">
        <is>
          <t>リモデル見積明細/購入見積明細のタブ切替（権限別表示）</t>
        </is>
      </c>
      <c r="E210" s="14" t="inlineStr">
        <is>
          <t>https://ryota-wata.github.io/medical-device-mgmt/quotation-management</t>
        </is>
      </c>
      <c r="F210" s="12" t="n">
        <v>8</v>
      </c>
      <c r="G210" s="12">
        <f>F210*$G$303</f>
        <v/>
      </c>
      <c r="H210" s="12" t="n">
        <v>2.5</v>
      </c>
      <c r="I210" s="12">
        <f>H210-2</f>
        <v/>
      </c>
      <c r="J210" s="12">
        <f>SUM(F210+I210)</f>
        <v/>
      </c>
      <c r="K210" s="11" t="inlineStr">
        <is>
          <t>NEW</t>
        </is>
      </c>
    </row>
    <row r="211">
      <c r="A211" s="10" t="n"/>
      <c r="B211" s="11" t="n"/>
      <c r="C211" s="11" t="inlineStr">
        <is>
          <t>編集リスト連動フィルター</t>
        </is>
      </c>
      <c r="D211" s="11" t="inlineStr">
        <is>
          <t>編集リスト選択で見積依頼グループの絞り込み（カスケードフィルター）</t>
        </is>
      </c>
      <c r="F211" s="12" t="n">
        <v>12</v>
      </c>
      <c r="G211" s="12">
        <f>F211*$G$303</f>
        <v/>
      </c>
      <c r="H211" s="12" t="n">
        <v>4</v>
      </c>
      <c r="I211" s="12">
        <f>H211-2</f>
        <v/>
      </c>
      <c r="J211" s="12">
        <f>SUM(F211+I211)</f>
        <v/>
      </c>
      <c r="K211" s="11" t="inlineStr">
        <is>
          <t>NEW</t>
        </is>
      </c>
    </row>
    <row r="212">
      <c r="A212" s="10" t="n"/>
      <c r="B212" s="11" t="n"/>
      <c r="C212" s="11" t="inlineStr">
        <is>
          <t>見積依頼グループ連動フィルター</t>
        </is>
      </c>
      <c r="D212" s="11" t="inlineStr">
        <is>
          <t>見積依頼グループ選択で見積明細を絞り込み</t>
        </is>
      </c>
      <c r="F212" s="12" t="n">
        <v>8</v>
      </c>
      <c r="G212" s="12">
        <f>F212*$G$303</f>
        <v/>
      </c>
      <c r="H212" s="12" t="n">
        <v>2.5</v>
      </c>
      <c r="I212" s="12">
        <f>H212-2</f>
        <v/>
      </c>
      <c r="J212" s="12">
        <f>SUM(F212+I212)</f>
        <v/>
      </c>
      <c r="K212" s="11" t="inlineStr">
        <is>
          <t>NEW</t>
        </is>
      </c>
    </row>
    <row r="213">
      <c r="A213" s="10" t="n"/>
      <c r="B213" s="11" t="n"/>
      <c r="C213" s="11" t="inlineStr">
        <is>
          <t>見積明細テーブル</t>
        </is>
      </c>
      <c r="D213" s="11" t="inlineStr">
        <is>
          <t>見積明細一覧テーブル（登録区分・大分類・中分類・品目・メーカー・型式・単位・定価・按分単価・按分金額）</t>
        </is>
      </c>
      <c r="F213" s="12" t="n">
        <v>12</v>
      </c>
      <c r="G213" s="12">
        <f>F213*$G$303</f>
        <v/>
      </c>
      <c r="H213" s="12" t="n">
        <v>4</v>
      </c>
      <c r="I213" s="12">
        <f>H213-2</f>
        <v/>
      </c>
      <c r="J213" s="12">
        <f>SUM(F213+I213)</f>
        <v/>
      </c>
      <c r="K213" s="11" t="inlineStr">
        <is>
          <t>NEW</t>
        </is>
      </c>
    </row>
    <row r="214">
      <c r="A214" s="10" t="n"/>
      <c r="B214" s="11" t="n"/>
      <c r="C214" s="11" t="inlineStr">
        <is>
          <t>件数・合計金額表示</t>
        </is>
      </c>
      <c r="D214" s="11" t="inlineStr">
        <is>
          <t>フィルター結果の件数・合計金額リアルタイム表示</t>
        </is>
      </c>
      <c r="F214" s="12" t="n">
        <v>8</v>
      </c>
      <c r="G214" s="12">
        <f>F214*$G$303</f>
        <v/>
      </c>
      <c r="H214" s="12" t="n">
        <v>2.5</v>
      </c>
      <c r="I214" s="12">
        <f>H214-2</f>
        <v/>
      </c>
      <c r="J214" s="12">
        <f>SUM(F214+I214)</f>
        <v/>
      </c>
      <c r="K214" s="11" t="inlineStr">
        <is>
          <t>NEW</t>
        </is>
      </c>
    </row>
    <row r="215">
      <c r="A215" s="7" t="inlineStr">
        <is>
          <t>見積登録</t>
        </is>
      </c>
      <c r="B215" s="5" t="inlineStr">
        <is>
          <t>見積登録ウィザード</t>
        </is>
      </c>
      <c r="C215" s="5" t="inlineStr">
        <is>
          <t>Step1: PDFアップロード</t>
        </is>
      </c>
      <c r="D215" s="5" t="inlineStr">
        <is>
          <t>見積書PDFファイルアップロード・保存形式選択</t>
        </is>
      </c>
      <c r="E215" s="14" t="inlineStr">
        <is>
          <t>https://ryota-wata.github.io/medical-device-mgmt/quotation-processing</t>
        </is>
      </c>
      <c r="F215" s="6" t="n">
        <v>12</v>
      </c>
      <c r="G215" s="6">
        <f>F215*$G$303</f>
        <v/>
      </c>
      <c r="H215" s="6" t="n">
        <v>4</v>
      </c>
      <c r="I215" s="6">
        <f>H215-2</f>
        <v/>
      </c>
      <c r="J215" s="6">
        <f>SUM(F215+I215)</f>
        <v/>
      </c>
      <c r="K215" s="5" t="inlineStr">
        <is>
          <t>NEW</t>
        </is>
      </c>
    </row>
    <row r="216">
      <c r="A216" s="3" t="n"/>
      <c r="B216" s="3" t="n"/>
      <c r="C216" s="3" t="inlineStr">
        <is>
          <t>Step2: OCR処理</t>
        </is>
      </c>
      <c r="D216" s="3" t="inlineStr">
        <is>
          <t>見積書OCR解析・抽出結果表示</t>
        </is>
      </c>
      <c r="F216" s="4" t="n">
        <v>16</v>
      </c>
      <c r="G216" s="4">
        <f>F216*$G$303</f>
        <v/>
      </c>
      <c r="H216" s="4" t="n">
        <v>5</v>
      </c>
      <c r="I216" s="4">
        <f>H216-2</f>
        <v/>
      </c>
      <c r="J216" s="4">
        <f>SUM(F216+I216)</f>
        <v/>
      </c>
      <c r="K216" s="3" t="inlineStr"/>
    </row>
    <row r="217">
      <c r="A217" s="5" t="n"/>
      <c r="B217" s="5" t="n"/>
      <c r="C217" s="5" t="inlineStr">
        <is>
          <t>Step3a: 登録区分分類</t>
        </is>
      </c>
      <c r="D217" s="5" t="inlineStr">
        <is>
          <t>明細行への登録区分設定（A表紙/B明細代表/C個体管理/D付属品/E役務/F値引き）</t>
        </is>
      </c>
      <c r="F217" s="6" t="n">
        <v>16</v>
      </c>
      <c r="G217" s="6">
        <f>F217*$G$303</f>
        <v/>
      </c>
      <c r="H217" s="6" t="n">
        <v>5</v>
      </c>
      <c r="I217" s="6">
        <f>H217-2</f>
        <v/>
      </c>
      <c r="J217" s="6">
        <f>SUM(F217+I217)</f>
        <v/>
      </c>
      <c r="K217" s="5" t="inlineStr">
        <is>
          <t>NEW</t>
        </is>
      </c>
    </row>
    <row r="218">
      <c r="A218" s="3" t="n"/>
      <c r="B218" s="3" t="n"/>
      <c r="C218" s="3" t="inlineStr">
        <is>
          <t>Step3b: 資産マスタ紐付け</t>
        </is>
      </c>
      <c r="D218" s="3" t="inlineStr">
        <is>
          <t>OCR結果と資産マスタの紐付け（AI推奨/別窓選択）</t>
        </is>
      </c>
      <c r="F218" s="4" t="n">
        <v>16</v>
      </c>
      <c r="G218" s="4">
        <f>F218*$G$303</f>
        <v/>
      </c>
      <c r="H218" s="4" t="n">
        <v>5</v>
      </c>
      <c r="I218" s="4">
        <f>H218-2</f>
        <v/>
      </c>
      <c r="J218" s="4">
        <f>SUM(F218+I218)</f>
        <v/>
      </c>
      <c r="K218" s="3" t="inlineStr"/>
    </row>
    <row r="219">
      <c r="A219" s="5" t="n"/>
      <c r="B219" s="5" t="n"/>
      <c r="C219" s="5" t="inlineStr">
        <is>
          <t>Step4: 個体紐付け</t>
        </is>
      </c>
      <c r="D219" s="5" t="inlineStr">
        <is>
          <t>個体管理品への紐付け</t>
        </is>
      </c>
      <c r="F219" s="6" t="n">
        <v>16</v>
      </c>
      <c r="G219" s="6">
        <f>F219*$G$303</f>
        <v/>
      </c>
      <c r="H219" s="6" t="n">
        <v>5</v>
      </c>
      <c r="I219" s="6">
        <f>H219-2</f>
        <v/>
      </c>
      <c r="J219" s="6">
        <f>SUM(F219+I219)</f>
        <v/>
      </c>
      <c r="K219" s="5" t="inlineStr">
        <is>
          <t>NEW</t>
        </is>
      </c>
    </row>
    <row r="220">
      <c r="A220" s="5" t="n"/>
      <c r="B220" s="5" t="n"/>
      <c r="C220" s="5" t="inlineStr">
        <is>
          <t>Step5: 価格按分</t>
        </is>
      </c>
      <c r="D220" s="5" t="inlineStr">
        <is>
          <t>親品目から個体への価格按分計算</t>
        </is>
      </c>
      <c r="F220" s="6" t="n">
        <v>16</v>
      </c>
      <c r="G220" s="6">
        <f>F220*$G$303</f>
        <v/>
      </c>
      <c r="H220" s="6" t="n">
        <v>5</v>
      </c>
      <c r="I220" s="6">
        <f>H220-2</f>
        <v/>
      </c>
      <c r="J220" s="6">
        <f>SUM(F220+I220)</f>
        <v/>
      </c>
      <c r="K220" s="5" t="inlineStr">
        <is>
          <t>NEW</t>
        </is>
      </c>
    </row>
    <row r="221">
      <c r="A221" s="3" t="n"/>
      <c r="B221" s="3" t="inlineStr">
        <is>
          <t>OCR確認画面</t>
        </is>
      </c>
      <c r="C221" s="3" t="inlineStr">
        <is>
          <t>OCR結果テーブル</t>
        </is>
      </c>
      <c r="D221" s="3" t="inlineStr">
        <is>
          <t>抽出明細一覧（品目・メーカー・型式・数量・定価・購入価格）</t>
        </is>
      </c>
      <c r="E221" s="14" t="inlineStr">
        <is>
          <t>https://ryota-wata.github.io/medical-device-mgmt/quotation-data-box/ocr-confirm</t>
        </is>
      </c>
      <c r="F221" s="4" t="n">
        <v>12</v>
      </c>
      <c r="G221" s="4">
        <f>F221*$G$303</f>
        <v/>
      </c>
      <c r="H221" s="4" t="n">
        <v>4</v>
      </c>
      <c r="I221" s="4">
        <f>H221-2</f>
        <v/>
      </c>
      <c r="J221" s="4">
        <f>SUM(F221+I221)</f>
        <v/>
      </c>
      <c r="K221" s="3" t="inlineStr"/>
    </row>
    <row r="222">
      <c r="A222" s="5" t="n"/>
      <c r="B222" s="5" t="n"/>
      <c r="C222" s="5" t="inlineStr">
        <is>
          <t>会計区分設定</t>
        </is>
      </c>
      <c r="D222" s="5" t="inlineStr">
        <is>
          <t>医療機器/什器備品/情報システム/消耗品/保守の区分設定</t>
        </is>
      </c>
      <c r="F222" s="6" t="n">
        <v>12</v>
      </c>
      <c r="G222" s="6">
        <f>F222*$G$303</f>
        <v/>
      </c>
      <c r="H222" s="6" t="n">
        <v>4</v>
      </c>
      <c r="I222" s="6">
        <f>H222-2</f>
        <v/>
      </c>
      <c r="J222" s="6">
        <f>SUM(F222+I222)</f>
        <v/>
      </c>
      <c r="K222" s="5" t="inlineStr">
        <is>
          <t>NEW</t>
        </is>
      </c>
    </row>
    <row r="223">
      <c r="A223" s="3" t="n"/>
      <c r="B223" s="3" t="n"/>
      <c r="C223" s="3" t="inlineStr">
        <is>
          <t>OCR結果編集</t>
        </is>
      </c>
      <c r="D223" s="3" t="inlineStr">
        <is>
          <t>OCR抽出結果の手動修正</t>
        </is>
      </c>
      <c r="F223" s="4" t="n">
        <v>12</v>
      </c>
      <c r="G223" s="4">
        <f>F223*$G$303</f>
        <v/>
      </c>
      <c r="H223" s="4" t="n">
        <v>4</v>
      </c>
      <c r="I223" s="4">
        <f>H223-2</f>
        <v/>
      </c>
      <c r="J223" s="4">
        <f>SUM(F223+I223)</f>
        <v/>
      </c>
      <c r="K223" s="3" t="inlineStr"/>
    </row>
    <row r="224">
      <c r="A224" s="5" t="n"/>
      <c r="B224" s="5" t="inlineStr">
        <is>
          <t>AIマッチング確認画面</t>
        </is>
      </c>
      <c r="C224" s="5" t="inlineStr">
        <is>
          <t>AI判定結果表示</t>
        </is>
      </c>
      <c r="D224" s="5" t="inlineStr">
        <is>
          <t>登録区分別のAI判定結果（Category・大分類・中分類・品目・メーカー・型式）</t>
        </is>
      </c>
      <c r="E224" s="14" t="inlineStr">
        <is>
          <t>https://ryota-wata.github.io/medical-device-mgmt/quotation-data-box/item-ai-matching</t>
        </is>
      </c>
      <c r="F224" s="6" t="n">
        <v>16</v>
      </c>
      <c r="G224" s="6">
        <f>F224*$G$303</f>
        <v/>
      </c>
      <c r="H224" s="6" t="n">
        <v>5</v>
      </c>
      <c r="I224" s="6">
        <f>H224-2</f>
        <v/>
      </c>
      <c r="J224" s="6">
        <f>SUM(F224+I224)</f>
        <v/>
      </c>
      <c r="K224" s="5" t="inlineStr">
        <is>
          <t>NEW</t>
        </is>
      </c>
    </row>
    <row r="225">
      <c r="A225" s="3" t="n"/>
      <c r="B225" s="3" t="n"/>
      <c r="C225" s="3" t="inlineStr">
        <is>
          <t>AI推奨機能</t>
        </is>
      </c>
      <c r="D225" s="3" t="inlineStr">
        <is>
          <t>コサイン類似度検索・AI候補の表示・適用</t>
        </is>
      </c>
      <c r="F225" s="4" t="n">
        <v>20</v>
      </c>
      <c r="G225" s="4">
        <f>F225*$G$303</f>
        <v/>
      </c>
      <c r="H225" s="4" t="n">
        <v>6.5</v>
      </c>
      <c r="I225" s="4">
        <f>H225-2</f>
        <v/>
      </c>
      <c r="J225" s="4">
        <f>SUM(F225+I225)</f>
        <v/>
      </c>
      <c r="K225" s="3" t="inlineStr"/>
    </row>
    <row r="226">
      <c r="A226" s="3" t="n"/>
      <c r="B226" s="3" t="n"/>
      <c r="C226" s="3" t="inlineStr">
        <is>
          <t>資産マスタ選択(別窓)</t>
        </is>
      </c>
      <c r="D226" s="3" t="inlineStr">
        <is>
          <t>別ウィンドウでの資産マスタ選択・上書き</t>
        </is>
      </c>
      <c r="F226" s="4" t="n">
        <v>12</v>
      </c>
      <c r="G226" s="4">
        <f>F226*$G$303</f>
        <v/>
      </c>
      <c r="H226" s="4" t="n">
        <v>4</v>
      </c>
      <c r="I226" s="4">
        <f>H226-2</f>
        <v/>
      </c>
      <c r="J226" s="4">
        <f>SUM(F226+I226)</f>
        <v/>
      </c>
      <c r="K226" s="3" t="inlineStr"/>
    </row>
    <row r="227">
      <c r="A227" s="5" t="n"/>
      <c r="B227" s="5" t="inlineStr">
        <is>
          <t>価格按分画面</t>
        </is>
      </c>
      <c r="C227" s="5" t="inlineStr">
        <is>
          <t>親子関係表示</t>
        </is>
      </c>
      <c r="D227" s="5" t="inlineStr">
        <is>
          <t>親品目と子個体の関係表示（SEQ_ID追跡）</t>
        </is>
      </c>
      <c r="E227" s="14" t="inlineStr">
        <is>
          <t>https://ryota-wata.github.io/medical-device-mgmt/quotation-data-box/price-allocation</t>
        </is>
      </c>
      <c r="F227" s="6" t="n">
        <v>12</v>
      </c>
      <c r="G227" s="6">
        <f>F227*$G$303</f>
        <v/>
      </c>
      <c r="H227" s="6" t="n">
        <v>4</v>
      </c>
      <c r="I227" s="6">
        <f>H227-2</f>
        <v/>
      </c>
      <c r="J227" s="6">
        <f>SUM(F227+I227)</f>
        <v/>
      </c>
      <c r="K227" s="5" t="inlineStr">
        <is>
          <t>NEW</t>
        </is>
      </c>
    </row>
    <row r="228">
      <c r="A228" s="5" t="n"/>
      <c r="B228" s="5" t="n"/>
      <c r="C228" s="5" t="inlineStr">
        <is>
          <t>按分計算</t>
        </is>
      </c>
      <c r="D228" s="5" t="inlineStr">
        <is>
          <t>定価単価から按分単価・按分金額の計算</t>
        </is>
      </c>
      <c r="F228" s="6" t="n">
        <v>16</v>
      </c>
      <c r="G228" s="6">
        <f>F228*$G$303</f>
        <v/>
      </c>
      <c r="H228" s="6" t="n">
        <v>5</v>
      </c>
      <c r="I228" s="6">
        <f>H228-2</f>
        <v/>
      </c>
      <c r="J228" s="6">
        <f>SUM(F228+I228)</f>
        <v/>
      </c>
      <c r="K228" s="5" t="inlineStr">
        <is>
          <t>NEW</t>
        </is>
      </c>
    </row>
    <row r="229">
      <c r="A229" s="5" t="n"/>
      <c r="B229" s="5" t="inlineStr">
        <is>
          <t>仮登録確認画面</t>
        </is>
      </c>
      <c r="C229" s="5" t="inlineStr">
        <is>
          <t>登録データ確認</t>
        </is>
      </c>
      <c r="D229" s="5" t="inlineStr">
        <is>
          <t>登録予定の資産データ一覧確認</t>
        </is>
      </c>
      <c r="E229" s="14" t="inlineStr">
        <is>
          <t>https://ryota-wata.github.io/medical-device-mgmt/quotation-data-box/asset-provisional-registration</t>
        </is>
      </c>
      <c r="F229" s="6" t="n">
        <v>12</v>
      </c>
      <c r="G229" s="6">
        <f>F229*$G$303</f>
        <v/>
      </c>
      <c r="H229" s="6" t="n">
        <v>4</v>
      </c>
      <c r="I229" s="6">
        <f>H229-2</f>
        <v/>
      </c>
      <c r="J229" s="6">
        <f>SUM(F229+I229)</f>
        <v/>
      </c>
      <c r="K229" s="5" t="inlineStr">
        <is>
          <t>NEW</t>
        </is>
      </c>
    </row>
    <row r="230">
      <c r="A230" s="5" t="n"/>
      <c r="B230" s="5" t="n"/>
      <c r="C230" s="5" t="inlineStr">
        <is>
          <t>仮登録実行</t>
        </is>
      </c>
      <c r="D230" s="5" t="inlineStr">
        <is>
          <t>見積データから仮資産レコード作成</t>
        </is>
      </c>
      <c r="F230" s="6" t="n">
        <v>16</v>
      </c>
      <c r="G230" s="6">
        <f>F230*$G$303</f>
        <v/>
      </c>
      <c r="H230" s="6" t="n">
        <v>5</v>
      </c>
      <c r="I230" s="6">
        <f>H230-2</f>
        <v/>
      </c>
      <c r="J230" s="6">
        <f>SUM(F230+I230)</f>
        <v/>
      </c>
      <c r="K230" s="5" t="inlineStr">
        <is>
          <t>NEW</t>
        </is>
      </c>
    </row>
    <row r="231">
      <c r="A231" s="5" t="n"/>
      <c r="B231" s="5" t="inlineStr">
        <is>
          <t>発注登録画面</t>
        </is>
      </c>
      <c r="C231" s="5" t="inlineStr">
        <is>
          <t>発注情報入力</t>
        </is>
      </c>
      <c r="D231" s="5" t="inlineStr">
        <is>
          <t>発注種別（購入/割賦/リース/レンタル）・支払条件・発注明細</t>
        </is>
      </c>
      <c r="E231" s="14" t="inlineStr">
        <is>
          <t>https://ryota-wata.github.io/medical-device-mgmt/quotation-data-box/order-registration</t>
        </is>
      </c>
      <c r="F231" s="6" t="n">
        <v>16</v>
      </c>
      <c r="G231" s="6">
        <f>F231*$G$303</f>
        <v/>
      </c>
      <c r="H231" s="6" t="n">
        <v>5</v>
      </c>
      <c r="I231" s="6">
        <f>H231-2</f>
        <v/>
      </c>
      <c r="J231" s="6">
        <f>SUM(F231+I231)</f>
        <v/>
      </c>
      <c r="K231" s="5" t="inlineStr">
        <is>
          <t>NEW</t>
        </is>
      </c>
    </row>
    <row r="232">
      <c r="A232" s="5" t="n"/>
      <c r="B232" s="5" t="n"/>
      <c r="C232" s="5" t="inlineStr">
        <is>
          <t>発注書プレビュー</t>
        </is>
      </c>
      <c r="D232" s="5" t="inlineStr">
        <is>
          <t>発注書プレビューモーダル</t>
        </is>
      </c>
      <c r="F232" s="6" t="n">
        <v>12</v>
      </c>
      <c r="G232" s="6">
        <f>F232*$G$303</f>
        <v/>
      </c>
      <c r="H232" s="6" t="n">
        <v>4</v>
      </c>
      <c r="I232" s="6">
        <f>H232-2</f>
        <v/>
      </c>
      <c r="J232" s="6">
        <f>SUM(F232+I232)</f>
        <v/>
      </c>
      <c r="K232" s="5" t="inlineStr">
        <is>
          <t>NEW</t>
        </is>
      </c>
    </row>
    <row r="233">
      <c r="A233" s="5" t="n"/>
      <c r="B233" s="5" t="n"/>
      <c r="C233" s="5" t="inlineStr">
        <is>
          <t>発注登録実行</t>
        </is>
      </c>
      <c r="D233" s="5" t="inlineStr">
        <is>
          <t>発注データ登録処理</t>
        </is>
      </c>
      <c r="F233" s="6" t="n">
        <v>16</v>
      </c>
      <c r="G233" s="6">
        <f>F233*$G$303</f>
        <v/>
      </c>
      <c r="H233" s="6" t="n">
        <v>5</v>
      </c>
      <c r="I233" s="6">
        <f>H233-2</f>
        <v/>
      </c>
      <c r="J233" s="6">
        <f>SUM(F233+I233)</f>
        <v/>
      </c>
      <c r="K233" s="5" t="inlineStr">
        <is>
          <t>NEW</t>
        </is>
      </c>
    </row>
    <row r="234">
      <c r="A234" s="5" t="n"/>
      <c r="B234" s="5" t="inlineStr">
        <is>
          <t>検収登録画面</t>
        </is>
      </c>
      <c r="C234" s="5" t="inlineStr">
        <is>
          <t>受付ステップ</t>
        </is>
      </c>
      <c r="D234" s="5" t="inlineStr">
        <is>
          <t>検収証種別・予定日・備考入力</t>
        </is>
      </c>
      <c r="E234" s="14" t="inlineStr">
        <is>
          <t>https://ryota-wata.github.io/medical-device-mgmt/quotation-data-box/inspection-registration</t>
        </is>
      </c>
      <c r="F234" s="6" t="n">
        <v>12</v>
      </c>
      <c r="G234" s="6">
        <f>F234*$G$303</f>
        <v/>
      </c>
      <c r="H234" s="6" t="n">
        <v>4</v>
      </c>
      <c r="I234" s="6">
        <f>H234-2</f>
        <v/>
      </c>
      <c r="J234" s="6">
        <f>SUM(F234+I234)</f>
        <v/>
      </c>
      <c r="K234" s="5" t="inlineStr">
        <is>
          <t>NEW</t>
        </is>
      </c>
    </row>
    <row r="235">
      <c r="A235" s="5" t="n"/>
      <c r="B235" s="5" t="n"/>
      <c r="C235" s="5" t="inlineStr">
        <is>
          <t>完了登録ステップ</t>
        </is>
      </c>
      <c r="D235" s="5" t="inlineStr">
        <is>
          <t>実施日・報告書アップロード</t>
        </is>
      </c>
      <c r="F235" s="6" t="n">
        <v>12</v>
      </c>
      <c r="G235" s="6">
        <f>F235*$G$303</f>
        <v/>
      </c>
      <c r="H235" s="6" t="n">
        <v>4</v>
      </c>
      <c r="I235" s="6">
        <f>H235-2</f>
        <v/>
      </c>
      <c r="J235" s="6">
        <f>SUM(F235+I235)</f>
        <v/>
      </c>
      <c r="K235" s="5" t="inlineStr">
        <is>
          <t>NEW</t>
        </is>
      </c>
    </row>
    <row r="236">
      <c r="A236" s="5" t="n"/>
      <c r="B236" s="5" t="n"/>
      <c r="C236" s="5" t="inlineStr">
        <is>
          <t>検収証プレビュー</t>
        </is>
      </c>
      <c r="D236" s="5" t="inlineStr">
        <is>
          <t>検収証プレビューモーダル</t>
        </is>
      </c>
      <c r="F236" s="6" t="n">
        <v>12</v>
      </c>
      <c r="G236" s="6">
        <f>F236*$G$303</f>
        <v/>
      </c>
      <c r="H236" s="6" t="n">
        <v>4</v>
      </c>
      <c r="I236" s="6">
        <f>H236-2</f>
        <v/>
      </c>
      <c r="J236" s="6">
        <f>SUM(F236+I236)</f>
        <v/>
      </c>
      <c r="K236" s="5" t="inlineStr">
        <is>
          <t>NEW</t>
        </is>
      </c>
    </row>
    <row r="237">
      <c r="A237" s="7" t="inlineStr">
        <is>
          <t>保守・点検</t>
        </is>
      </c>
      <c r="B237" s="5" t="inlineStr">
        <is>
          <t>点検準備</t>
        </is>
      </c>
      <c r="C237" s="5" t="inlineStr">
        <is>
          <t>データダウンロード</t>
        </is>
      </c>
      <c r="D237" s="5" t="inlineStr">
        <is>
          <t>点検用データのIndexedDB保存</t>
        </is>
      </c>
      <c r="E237" s="14" t="inlineStr">
        <is>
          <t>https://ryota-wata.github.io/medical-device-mgmt/inspection-prep</t>
        </is>
      </c>
      <c r="F237" s="6" t="n">
        <v>16</v>
      </c>
      <c r="G237" s="6">
        <f>F237*$G$303</f>
        <v/>
      </c>
      <c r="H237" s="6" t="n">
        <v>5</v>
      </c>
      <c r="I237" s="6">
        <f>H237-2</f>
        <v/>
      </c>
      <c r="J237" s="6">
        <f>SUM(F237+I237)</f>
        <v/>
      </c>
      <c r="K237" s="5" t="inlineStr">
        <is>
          <t>NEW</t>
        </is>
      </c>
    </row>
    <row r="238">
      <c r="A238" s="5" t="n"/>
      <c r="B238" s="5" t="n"/>
      <c r="C238" s="5" t="inlineStr">
        <is>
          <t>ダウンロード状態表示</t>
        </is>
      </c>
      <c r="D238" s="5" t="inlineStr">
        <is>
          <t>資産件数・メニュー件数・最終DL時刻表示</t>
        </is>
      </c>
      <c r="F238" s="6" t="n">
        <v>12</v>
      </c>
      <c r="G238" s="6">
        <f>F238*$G$303</f>
        <v/>
      </c>
      <c r="H238" s="6" t="n">
        <v>4</v>
      </c>
      <c r="I238" s="6">
        <f>H238-2</f>
        <v/>
      </c>
      <c r="J238" s="6">
        <f>SUM(F238+I238)</f>
        <v/>
      </c>
      <c r="K238" s="5" t="inlineStr">
        <is>
          <t>NEW</t>
        </is>
      </c>
    </row>
    <row r="239">
      <c r="A239" s="5" t="n"/>
      <c r="B239" s="5" t="n"/>
      <c r="C239" s="5" t="inlineStr">
        <is>
          <t>データ送信</t>
        </is>
      </c>
      <c r="D239" s="5" t="inlineStr">
        <is>
          <t>未送信点検結果のサーバー送信</t>
        </is>
      </c>
      <c r="F239" s="6" t="n">
        <v>12</v>
      </c>
      <c r="G239" s="6">
        <f>F239*$G$303</f>
        <v/>
      </c>
      <c r="H239" s="6" t="n">
        <v>4</v>
      </c>
      <c r="I239" s="6">
        <f>H239-2</f>
        <v/>
      </c>
      <c r="J239" s="6">
        <f>SUM(F239+I239)</f>
        <v/>
      </c>
      <c r="K239" s="5" t="inlineStr">
        <is>
          <t>NEW</t>
        </is>
      </c>
    </row>
    <row r="240">
      <c r="A240" s="5" t="n"/>
      <c r="B240" s="5" t="n"/>
      <c r="C240" s="5" t="inlineStr">
        <is>
          <t>接続状態表示</t>
        </is>
      </c>
      <c r="D240" s="5" t="inlineStr">
        <is>
          <t>オンライン/オフライン状態表示</t>
        </is>
      </c>
      <c r="F240" s="6" t="n">
        <v>12</v>
      </c>
      <c r="G240" s="6">
        <f>F240*$G$303</f>
        <v/>
      </c>
      <c r="H240" s="6" t="n">
        <v>4</v>
      </c>
      <c r="I240" s="6">
        <f>H240-2</f>
        <v/>
      </c>
      <c r="J240" s="6">
        <f>SUM(F240+I240)</f>
        <v/>
      </c>
      <c r="K240" s="5" t="inlineStr">
        <is>
          <t>NEW</t>
        </is>
      </c>
    </row>
    <row r="241">
      <c r="A241" s="5" t="n"/>
      <c r="B241" s="5" t="inlineStr">
        <is>
          <t>日常点検実施</t>
        </is>
      </c>
      <c r="C241" s="5" t="inlineStr">
        <is>
          <t>資産選択</t>
        </is>
      </c>
      <c r="D241" s="5" t="inlineStr">
        <is>
          <t>QRスキャンまたは手動検索で点検対象選択</t>
        </is>
      </c>
      <c r="E241" s="14" t="inlineStr">
        <is>
          <t>https://ryota-wata.github.io/medical-device-mgmt/daily-inspection</t>
        </is>
      </c>
      <c r="F241" s="6" t="n">
        <v>12</v>
      </c>
      <c r="G241" s="6">
        <f>F241*$G$303</f>
        <v/>
      </c>
      <c r="H241" s="6" t="n">
        <v>4</v>
      </c>
      <c r="I241" s="6">
        <f>H241-2</f>
        <v/>
      </c>
      <c r="J241" s="6">
        <f>SUM(F241+I241)</f>
        <v/>
      </c>
      <c r="K241" s="5" t="inlineStr">
        <is>
          <t>NEW</t>
        </is>
      </c>
    </row>
    <row r="242">
      <c r="A242" s="5" t="n"/>
      <c r="B242" s="5" t="n"/>
      <c r="C242" s="5" t="inlineStr">
        <is>
          <t>点検種別選択</t>
        </is>
      </c>
      <c r="D242" s="5" t="inlineStr">
        <is>
          <t>日常点検/定期点検・使用タイミング選択</t>
        </is>
      </c>
      <c r="F242" s="6" t="n">
        <v>12</v>
      </c>
      <c r="G242" s="6">
        <f>F242*$G$303</f>
        <v/>
      </c>
      <c r="H242" s="6" t="n">
        <v>4</v>
      </c>
      <c r="I242" s="6">
        <f>H242-2</f>
        <v/>
      </c>
      <c r="J242" s="6">
        <f>SUM(F242+I242)</f>
        <v/>
      </c>
      <c r="K242" s="5" t="inlineStr">
        <is>
          <t>NEW</t>
        </is>
      </c>
    </row>
    <row r="243">
      <c r="A243" s="5" t="n"/>
      <c r="B243" s="5" t="n"/>
      <c r="C243" s="5" t="inlineStr">
        <is>
          <t>点検チェックリスト</t>
        </is>
      </c>
      <c r="D243" s="5" t="inlineStr">
        <is>
          <t>点検項目ごとの合否判定・数値入力</t>
        </is>
      </c>
      <c r="F243" s="6" t="n">
        <v>16</v>
      </c>
      <c r="G243" s="6">
        <f>F243*$G$303</f>
        <v/>
      </c>
      <c r="H243" s="6" t="n">
        <v>5</v>
      </c>
      <c r="I243" s="6">
        <f>H243-2</f>
        <v/>
      </c>
      <c r="J243" s="6">
        <f>SUM(F243+I243)</f>
        <v/>
      </c>
      <c r="K243" s="5" t="inlineStr">
        <is>
          <t>NEW</t>
        </is>
      </c>
    </row>
    <row r="244">
      <c r="A244" s="5" t="n"/>
      <c r="B244" s="5" t="n"/>
      <c r="C244" s="5" t="inlineStr">
        <is>
          <t>総合判定</t>
        </is>
      </c>
      <c r="D244" s="5" t="inlineStr">
        <is>
          <t>合格/再点検/修理申請の判定</t>
        </is>
      </c>
      <c r="F244" s="6" t="n">
        <v>12</v>
      </c>
      <c r="G244" s="6">
        <f>F244*$G$303</f>
        <v/>
      </c>
      <c r="H244" s="6" t="n">
        <v>4</v>
      </c>
      <c r="I244" s="6">
        <f>H244-2</f>
        <v/>
      </c>
      <c r="J244" s="6">
        <f>SUM(F244+I244)</f>
        <v/>
      </c>
      <c r="K244" s="5" t="inlineStr">
        <is>
          <t>NEW</t>
        </is>
      </c>
    </row>
    <row r="245">
      <c r="A245" s="5" t="n"/>
      <c r="B245" s="5" t="inlineStr">
        <is>
          <t>点検結果表示</t>
        </is>
      </c>
      <c r="C245" s="5" t="inlineStr">
        <is>
          <t>結果サマリー表示</t>
        </is>
      </c>
      <c r="D245" s="5" t="inlineStr">
        <is>
          <t>機器情報・点検情報・項目別結果一覧</t>
        </is>
      </c>
      <c r="E245" s="14" t="inlineStr">
        <is>
          <t>https://ryota-wata.github.io/medical-device-mgmt/inspection-result</t>
        </is>
      </c>
      <c r="F245" s="6" t="n">
        <v>12</v>
      </c>
      <c r="G245" s="6">
        <f>F245*$G$303</f>
        <v/>
      </c>
      <c r="H245" s="6" t="n">
        <v>4</v>
      </c>
      <c r="I245" s="6">
        <f>H245-2</f>
        <v/>
      </c>
      <c r="J245" s="6">
        <f>SUM(F245+I245)</f>
        <v/>
      </c>
      <c r="K245" s="5" t="inlineStr">
        <is>
          <t>NEW</t>
        </is>
      </c>
    </row>
    <row r="246">
      <c r="A246" s="5" t="n"/>
      <c r="B246" s="5" t="n"/>
      <c r="C246" s="5" t="inlineStr">
        <is>
          <t>PDFレポート出力</t>
        </is>
      </c>
      <c r="D246" s="5" t="inlineStr">
        <is>
          <t>点検結果レポートのPDF出力</t>
        </is>
      </c>
      <c r="F246" s="6" t="n">
        <v>16</v>
      </c>
      <c r="G246" s="6">
        <f>F246*$G$303</f>
        <v/>
      </c>
      <c r="H246" s="6" t="n">
        <v>5</v>
      </c>
      <c r="I246" s="6">
        <f>H246-2</f>
        <v/>
      </c>
      <c r="J246" s="6">
        <f>SUM(F246+I246)</f>
        <v/>
      </c>
      <c r="K246" s="5" t="inlineStr">
        <is>
          <t>NEW</t>
        </is>
      </c>
    </row>
    <row r="247">
      <c r="A247" s="5" t="n"/>
      <c r="B247" s="5" t="n"/>
      <c r="C247" s="5" t="inlineStr">
        <is>
          <t>後続アクション提示</t>
        </is>
      </c>
      <c r="D247" s="5" t="inlineStr">
        <is>
          <t>判定結果に応じた次アクション（修理申請等）</t>
        </is>
      </c>
      <c r="F247" s="6" t="n">
        <v>12</v>
      </c>
      <c r="G247" s="6">
        <f>F247*$G$303</f>
        <v/>
      </c>
      <c r="H247" s="6" t="n">
        <v>4</v>
      </c>
      <c r="I247" s="6">
        <f>H247-2</f>
        <v/>
      </c>
      <c r="J247" s="6">
        <f>SUM(F247+I247)</f>
        <v/>
      </c>
      <c r="K247" s="5" t="inlineStr">
        <is>
          <t>NEW</t>
        </is>
      </c>
    </row>
    <row r="248">
      <c r="A248" s="5" t="n"/>
      <c r="B248" s="5" t="inlineStr">
        <is>
          <t>メーカー保守結果</t>
        </is>
      </c>
      <c r="C248" s="5" t="inlineStr">
        <is>
          <t>2パネルレイアウト</t>
        </is>
      </c>
      <c r="D248" s="5" t="inlineStr">
        <is>
          <t>左：入力フォーム / 右：PDFプレビュー（リサイズ可能）</t>
        </is>
      </c>
      <c r="E248" s="14" t="inlineStr">
        <is>
          <t>https://ryota-wata.github.io/medical-device-mgmt/maker-maintenance-result</t>
        </is>
      </c>
      <c r="F248" s="6" t="n">
        <v>16</v>
      </c>
      <c r="G248" s="6">
        <f>F248*$G$303</f>
        <v/>
      </c>
      <c r="H248" s="6" t="n">
        <v>5</v>
      </c>
      <c r="I248" s="6">
        <f>H248-2</f>
        <v/>
      </c>
      <c r="J248" s="6">
        <f>SUM(F248+I248)</f>
        <v/>
      </c>
      <c r="K248" s="5" t="inlineStr">
        <is>
          <t>NEW</t>
        </is>
      </c>
    </row>
    <row r="249">
      <c r="A249" s="5" t="n"/>
      <c r="B249" s="5" t="n"/>
      <c r="C249" s="5" t="inlineStr">
        <is>
          <t>ドキュメント種別選択</t>
        </is>
      </c>
      <c r="D249" s="5" t="inlineStr">
        <is>
          <t>点検報告書/その他の選択</t>
        </is>
      </c>
      <c r="F249" s="6" t="n">
        <v>8</v>
      </c>
      <c r="G249" s="6">
        <f>F249*$G$303</f>
        <v/>
      </c>
      <c r="H249" s="6" t="n">
        <v>2.5</v>
      </c>
      <c r="I249" s="6">
        <f>H249-2</f>
        <v/>
      </c>
      <c r="J249" s="6">
        <f>SUM(F249+I249)</f>
        <v/>
      </c>
      <c r="K249" s="5" t="inlineStr">
        <is>
          <t>NEW</t>
        </is>
      </c>
    </row>
    <row r="250">
      <c r="A250" s="5" t="n"/>
      <c r="B250" s="5" t="n"/>
      <c r="C250" s="5" t="inlineStr">
        <is>
          <t>費用明細テーブル</t>
        </is>
      </c>
      <c r="D250" s="5" t="inlineStr">
        <is>
          <t>費用種別（部品交換/作業等）・説明・金額の入力</t>
        </is>
      </c>
      <c r="F250" s="6" t="n">
        <v>16</v>
      </c>
      <c r="G250" s="6">
        <f>F250*$G$303</f>
        <v/>
      </c>
      <c r="H250" s="6" t="n">
        <v>5</v>
      </c>
      <c r="I250" s="6">
        <f>H250-2</f>
        <v/>
      </c>
      <c r="J250" s="6">
        <f>SUM(F250+I250)</f>
        <v/>
      </c>
      <c r="K250" s="5" t="inlineStr">
        <is>
          <t>NEW</t>
        </is>
      </c>
    </row>
    <row r="251">
      <c r="A251" s="5" t="n"/>
      <c r="B251" s="5" t="n"/>
      <c r="C251" s="5" t="inlineStr">
        <is>
          <t>ファイル添付</t>
        </is>
      </c>
      <c r="D251" s="5" t="inlineStr">
        <is>
          <t>報告書PDFアップロード</t>
        </is>
      </c>
      <c r="F251" s="6" t="n">
        <v>12</v>
      </c>
      <c r="G251" s="6">
        <f>F251*$G$303</f>
        <v/>
      </c>
      <c r="H251" s="6" t="n">
        <v>4</v>
      </c>
      <c r="I251" s="6">
        <f>H251-2</f>
        <v/>
      </c>
      <c r="J251" s="6">
        <f>SUM(F251+I251)</f>
        <v/>
      </c>
      <c r="K251" s="5" t="inlineStr">
        <is>
          <t>NEW</t>
        </is>
      </c>
    </row>
    <row r="252">
      <c r="A252" s="5" t="n"/>
      <c r="B252" s="5" t="inlineStr">
        <is>
          <t>保守見積登録</t>
        </is>
      </c>
      <c r="C252" s="5" t="inlineStr">
        <is>
          <t>保守申請受付</t>
        </is>
      </c>
      <c r="D252" s="5" t="inlineStr">
        <is>
          <t>保守契約グループ資産テーブル・受付処理</t>
        </is>
      </c>
      <c r="E252" s="14" t="inlineStr">
        <is>
          <t>https://ryota-wata.github.io/medical-device-mgmt/maintenance-quote-registration</t>
        </is>
      </c>
      <c r="F252" s="6" t="n">
        <v>16</v>
      </c>
      <c r="G252" s="6">
        <f>F252*$G$303</f>
        <v/>
      </c>
      <c r="H252" s="6" t="n">
        <v>5</v>
      </c>
      <c r="I252" s="6">
        <f>H252-2</f>
        <v/>
      </c>
      <c r="J252" s="6">
        <f>SUM(F252+I252)</f>
        <v/>
      </c>
      <c r="K252" s="5" t="inlineStr">
        <is>
          <t>NEW</t>
        </is>
      </c>
    </row>
    <row r="253">
      <c r="A253" s="5" t="n"/>
      <c r="B253" s="5" t="n"/>
      <c r="C253" s="5" t="inlineStr">
        <is>
          <t>見積登録</t>
        </is>
      </c>
      <c r="D253" s="5" t="inlineStr">
        <is>
          <t>フェーズ選択（保守登録用/参考）・保存形式・PDFアップロード</t>
        </is>
      </c>
      <c r="F253" s="6" t="n">
        <v>16</v>
      </c>
      <c r="G253" s="6">
        <f>F253*$G$303</f>
        <v/>
      </c>
      <c r="H253" s="6" t="n">
        <v>5</v>
      </c>
      <c r="I253" s="6">
        <f>H253-2</f>
        <v/>
      </c>
      <c r="J253" s="6">
        <f>SUM(F253+I253)</f>
        <v/>
      </c>
      <c r="K253" s="5" t="inlineStr">
        <is>
          <t>NEW</t>
        </is>
      </c>
    </row>
    <row r="254">
      <c r="A254" s="5" t="n"/>
      <c r="B254" s="5" t="n"/>
      <c r="C254" s="5" t="inlineStr">
        <is>
          <t>完了登録</t>
        </is>
      </c>
      <c r="D254" s="5" t="inlineStr">
        <is>
          <t>保守完了処理</t>
        </is>
      </c>
      <c r="F254" s="6" t="n">
        <v>12</v>
      </c>
      <c r="G254" s="6">
        <f>F254*$G$303</f>
        <v/>
      </c>
      <c r="H254" s="6" t="n">
        <v>4</v>
      </c>
      <c r="I254" s="6">
        <f>H254-2</f>
        <v/>
      </c>
      <c r="J254" s="6">
        <f>SUM(F254+I254)</f>
        <v/>
      </c>
      <c r="K254" s="5" t="inlineStr">
        <is>
          <t>NEW</t>
        </is>
      </c>
    </row>
    <row r="255">
      <c r="A255" s="7" t="inlineStr">
        <is>
          <t>修理管理</t>
        </is>
      </c>
      <c r="B255" s="5" t="inlineStr">
        <is>
          <t>修理申請</t>
        </is>
      </c>
      <c r="C255" s="5" t="inlineStr">
        <is>
          <t>申請フォーム</t>
        </is>
      </c>
      <c r="D255" s="5" t="inlineStr">
        <is>
          <t>申請No自動採番・申請日時・申請者情報自動入力</t>
        </is>
      </c>
      <c r="E255" s="14" t="inlineStr">
        <is>
          <t>https://ryota-wata.github.io/medical-device-mgmt/repair-request</t>
        </is>
      </c>
      <c r="F255" s="6" t="n">
        <v>12</v>
      </c>
      <c r="G255" s="6">
        <f>F255*$G$303</f>
        <v/>
      </c>
      <c r="H255" s="6" t="n">
        <v>4</v>
      </c>
      <c r="I255" s="6">
        <f>H255-2</f>
        <v/>
      </c>
      <c r="J255" s="6">
        <f>SUM(F255+I255)</f>
        <v/>
      </c>
      <c r="K255" s="5" t="inlineStr">
        <is>
          <t>NEW</t>
        </is>
      </c>
    </row>
    <row r="256">
      <c r="A256" s="5" t="n"/>
      <c r="B256" s="5" t="n"/>
      <c r="C256" s="5" t="inlineStr">
        <is>
          <t>機器選択</t>
        </is>
      </c>
      <c r="D256" s="5" t="inlineStr">
        <is>
          <t>登録済み資産（QRスキャン）/未登録（手動入力）切替</t>
        </is>
      </c>
      <c r="F256" s="6" t="n">
        <v>16</v>
      </c>
      <c r="G256" s="6">
        <f>F256*$G$303</f>
        <v/>
      </c>
      <c r="H256" s="6" t="n">
        <v>5</v>
      </c>
      <c r="I256" s="6">
        <f>H256-2</f>
        <v/>
      </c>
      <c r="J256" s="6">
        <f>SUM(F256+I256)</f>
        <v/>
      </c>
      <c r="K256" s="5" t="inlineStr">
        <is>
          <t>NEW</t>
        </is>
      </c>
    </row>
    <row r="257">
      <c r="A257" s="5" t="n"/>
      <c r="B257" s="5" t="n"/>
      <c r="C257" s="5" t="inlineStr">
        <is>
          <t>写真撮影</t>
        </is>
      </c>
      <c r="D257" s="5" t="inlineStr">
        <is>
          <t>故障状況の写真撮影（base64保存）</t>
        </is>
      </c>
      <c r="F257" s="6" t="n">
        <v>16</v>
      </c>
      <c r="G257" s="6">
        <f>F257*$G$303</f>
        <v/>
      </c>
      <c r="H257" s="6" t="n">
        <v>5</v>
      </c>
      <c r="I257" s="6">
        <f>H257-2</f>
        <v/>
      </c>
      <c r="J257" s="6">
        <f>SUM(F257+I257)</f>
        <v/>
      </c>
      <c r="K257" s="5" t="inlineStr">
        <is>
          <t>NEW</t>
        </is>
      </c>
    </row>
    <row r="258">
      <c r="A258" s="5" t="n"/>
      <c r="B258" s="5" t="n"/>
      <c r="C258" s="5" t="inlineStr">
        <is>
          <t>症状入力</t>
        </is>
      </c>
      <c r="D258" s="5" t="inlineStr">
        <is>
          <t>故障症状・詳細説明入力</t>
        </is>
      </c>
      <c r="F258" s="6" t="n">
        <v>12</v>
      </c>
      <c r="G258" s="6">
        <f>F258*$G$303</f>
        <v/>
      </c>
      <c r="H258" s="6" t="n">
        <v>4</v>
      </c>
      <c r="I258" s="6">
        <f>H258-2</f>
        <v/>
      </c>
      <c r="J258" s="6">
        <f>SUM(F258+I258)</f>
        <v/>
      </c>
      <c r="K258" s="5" t="inlineStr">
        <is>
          <t>NEW</t>
        </is>
      </c>
    </row>
    <row r="259">
      <c r="A259" s="5" t="n"/>
      <c r="B259" s="5" t="n"/>
      <c r="C259" s="5" t="inlineStr">
        <is>
          <t>代替機器要望</t>
        </is>
      </c>
      <c r="D259" s="5" t="inlineStr">
        <is>
          <t>不要/必要/依頼済みの選択</t>
        </is>
      </c>
      <c r="F259" s="6" t="n">
        <v>8</v>
      </c>
      <c r="G259" s="6">
        <f>F259*$G$303</f>
        <v/>
      </c>
      <c r="H259" s="6" t="n">
        <v>2.5</v>
      </c>
      <c r="I259" s="6">
        <f>H259-2</f>
        <v/>
      </c>
      <c r="J259" s="6">
        <f>SUM(F259+I259)</f>
        <v/>
      </c>
      <c r="K259" s="5" t="inlineStr">
        <is>
          <t>NEW</t>
        </is>
      </c>
    </row>
    <row r="260">
      <c r="A260" s="10" t="n"/>
      <c r="B260" s="11" t="n"/>
      <c r="C260" s="11" t="inlineStr">
        <is>
          <t>フリーコメント入力</t>
        </is>
      </c>
      <c r="D260" s="11" t="inlineStr">
        <is>
          <t>任意のフリーコメント入力フィールド</t>
        </is>
      </c>
      <c r="F260" s="12" t="n">
        <v>8</v>
      </c>
      <c r="G260" s="12">
        <f>F260*$G$303</f>
        <v/>
      </c>
      <c r="H260" s="12" t="n">
        <v>2.5</v>
      </c>
      <c r="I260" s="12">
        <f>H260-2</f>
        <v/>
      </c>
      <c r="J260" s="12">
        <f>SUM(F260+I260)</f>
        <v/>
      </c>
      <c r="K260" s="11" t="inlineStr">
        <is>
          <t>NEW</t>
        </is>
      </c>
    </row>
    <row r="261">
      <c r="A261" s="10" t="n"/>
      <c r="B261" s="11" t="n"/>
      <c r="C261" s="11" t="inlineStr">
        <is>
          <t>申請前確認ビュー</t>
        </is>
      </c>
      <c r="D261" s="11" t="inlineStr">
        <is>
          <t>入力内容の確認画面表示（修正可能）</t>
        </is>
      </c>
      <c r="F261" s="12" t="n">
        <v>12</v>
      </c>
      <c r="G261" s="12">
        <f>F261*$G$303</f>
        <v/>
      </c>
      <c r="H261" s="12" t="n">
        <v>4</v>
      </c>
      <c r="I261" s="12">
        <f>H261-2</f>
        <v/>
      </c>
      <c r="J261" s="12">
        <f>SUM(F261+I261)</f>
        <v/>
      </c>
      <c r="K261" s="11" t="inlineStr">
        <is>
          <t>NEW</t>
        </is>
      </c>
    </row>
    <row r="262">
      <c r="A262" s="10" t="n"/>
      <c r="B262" s="11" t="n"/>
      <c r="C262" s="11" t="inlineStr">
        <is>
          <t>申請完了モーダル</t>
        </is>
      </c>
      <c r="D262" s="11" t="inlineStr">
        <is>
          <t>申請完了後のフィードバック表示（申請No・後続アクション案内）</t>
        </is>
      </c>
      <c r="F262" s="12" t="n">
        <v>8</v>
      </c>
      <c r="G262" s="12">
        <f>F262*$G$303</f>
        <v/>
      </c>
      <c r="H262" s="12" t="n">
        <v>2.5</v>
      </c>
      <c r="I262" s="12">
        <f>H262-2</f>
        <v/>
      </c>
      <c r="J262" s="12">
        <f>SUM(F262+I262)</f>
        <v/>
      </c>
      <c r="K262" s="11" t="inlineStr">
        <is>
          <t>NEW</t>
        </is>
      </c>
    </row>
    <row r="263">
      <c r="A263" s="5" t="n"/>
      <c r="B263" s="5" t="inlineStr">
        <is>
          <t>修理タスク</t>
        </is>
      </c>
      <c r="C263" s="5" t="inlineStr">
        <is>
          <t>ステップ進捗表示</t>
        </is>
      </c>
      <c r="D263" s="5" t="inlineStr">
        <is>
          <t>受付→見積依頼→見積登録→発注・引取→完了登録の5ステップ</t>
        </is>
      </c>
      <c r="E263" s="14" t="inlineStr">
        <is>
          <t>https://ryota-wata.github.io/medical-device-mgmt/repair-task</t>
        </is>
      </c>
      <c r="F263" s="6" t="n">
        <v>12</v>
      </c>
      <c r="G263" s="6">
        <f>F263*$G$303</f>
        <v/>
      </c>
      <c r="H263" s="6" t="n">
        <v>4</v>
      </c>
      <c r="I263" s="6">
        <f>H263-2</f>
        <v/>
      </c>
      <c r="J263" s="6">
        <f>SUM(F263+I263)</f>
        <v/>
      </c>
      <c r="K263" s="5" t="inlineStr">
        <is>
          <t>NEW</t>
        </is>
      </c>
    </row>
    <row r="264">
      <c r="A264" s="5" t="n"/>
      <c r="B264" s="5" t="n"/>
      <c r="C264" s="5" t="inlineStr">
        <is>
          <t>ステータス管理</t>
        </is>
      </c>
      <c r="D264" s="5" t="inlineStr">
        <is>
          <t>新規申請/受付済/依頼済/修理中/院内対応中/完了</t>
        </is>
      </c>
      <c r="F264" s="6" t="n">
        <v>12</v>
      </c>
      <c r="G264" s="6">
        <f>F264*$G$303</f>
        <v/>
      </c>
      <c r="H264" s="6" t="n">
        <v>4</v>
      </c>
      <c r="I264" s="6">
        <f>H264-2</f>
        <v/>
      </c>
      <c r="J264" s="6">
        <f>SUM(F264+I264)</f>
        <v/>
      </c>
      <c r="K264" s="5" t="inlineStr">
        <is>
          <t>NEW</t>
        </is>
      </c>
    </row>
    <row r="265">
      <c r="A265" s="5" t="n"/>
      <c r="B265" s="5" t="n"/>
      <c r="C265" s="5" t="inlineStr">
        <is>
          <t>見積依頼</t>
        </is>
      </c>
      <c r="D265" s="5" t="inlineStr">
        <is>
          <t>業者への見積依頼送信</t>
        </is>
      </c>
      <c r="F265" s="6" t="n">
        <v>16</v>
      </c>
      <c r="G265" s="6">
        <f>F265*$G$303</f>
        <v/>
      </c>
      <c r="H265" s="6" t="n">
        <v>5</v>
      </c>
      <c r="I265" s="6">
        <f>H265-2</f>
        <v/>
      </c>
      <c r="J265" s="6">
        <f>SUM(F265+I265)</f>
        <v/>
      </c>
      <c r="K265" s="5" t="inlineStr">
        <is>
          <t>NEW</t>
        </is>
      </c>
    </row>
    <row r="266">
      <c r="A266" s="5" t="n"/>
      <c r="B266" s="5" t="n"/>
      <c r="C266" s="5" t="inlineStr">
        <is>
          <t>見積登録</t>
        </is>
      </c>
      <c r="D266" s="5" t="inlineStr">
        <is>
          <t>見積書PDFアップロード・保存形式選択</t>
        </is>
      </c>
      <c r="F266" s="6" t="n">
        <v>16</v>
      </c>
      <c r="G266" s="6">
        <f>F266*$G$303</f>
        <v/>
      </c>
      <c r="H266" s="6" t="n">
        <v>5</v>
      </c>
      <c r="I266" s="6">
        <f>H266-2</f>
        <v/>
      </c>
      <c r="J266" s="6">
        <f>SUM(F266+I266)</f>
        <v/>
      </c>
      <c r="K266" s="5" t="inlineStr">
        <is>
          <t>NEW</t>
        </is>
      </c>
    </row>
    <row r="267">
      <c r="A267" s="5" t="n"/>
      <c r="B267" s="5" t="n"/>
      <c r="C267" s="5" t="inlineStr">
        <is>
          <t>発注・引取登録</t>
        </is>
      </c>
      <c r="D267" s="5" t="inlineStr">
        <is>
          <t>発注登録・機器引取確認</t>
        </is>
      </c>
      <c r="F267" s="6" t="n">
        <v>16</v>
      </c>
      <c r="G267" s="6">
        <f>F267*$G$303</f>
        <v/>
      </c>
      <c r="H267" s="6" t="n">
        <v>5</v>
      </c>
      <c r="I267" s="6">
        <f>H267-2</f>
        <v/>
      </c>
      <c r="J267" s="6">
        <f>SUM(F267+I267)</f>
        <v/>
      </c>
      <c r="K267" s="5" t="inlineStr">
        <is>
          <t>NEW</t>
        </is>
      </c>
    </row>
    <row r="268">
      <c r="A268" s="5" t="n"/>
      <c r="B268" s="5" t="n"/>
      <c r="C268" s="5" t="inlineStr">
        <is>
          <t>完了登録</t>
        </is>
      </c>
      <c r="D268" s="5" t="inlineStr">
        <is>
          <t>完了書類（工事報告書・引渡書等）アップロード</t>
        </is>
      </c>
      <c r="F268" s="6" t="n">
        <v>16</v>
      </c>
      <c r="G268" s="6">
        <f>F268*$G$303</f>
        <v/>
      </c>
      <c r="H268" s="6" t="n">
        <v>5</v>
      </c>
      <c r="I268" s="6">
        <f>H268-2</f>
        <v/>
      </c>
      <c r="J268" s="6">
        <f>SUM(F268+I268)</f>
        <v/>
      </c>
      <c r="K268" s="5" t="inlineStr">
        <is>
          <t>NEW</t>
        </is>
      </c>
    </row>
    <row r="269">
      <c r="A269" s="5" t="n"/>
      <c r="B269" s="5" t="n"/>
      <c r="C269" s="5" t="inlineStr">
        <is>
          <t>ドキュメント管理</t>
        </is>
      </c>
      <c r="D269" s="5" t="inlineStr">
        <is>
          <t>各ステップの登録書類一覧表示</t>
        </is>
      </c>
      <c r="F269" s="6" t="n">
        <v>12</v>
      </c>
      <c r="G269" s="6">
        <f>F269*$G$303</f>
        <v/>
      </c>
      <c r="H269" s="6" t="n">
        <v>4</v>
      </c>
      <c r="I269" s="6">
        <f>H269-2</f>
        <v/>
      </c>
      <c r="J269" s="6">
        <f>SUM(F269+I269)</f>
        <v/>
      </c>
      <c r="K269" s="5" t="inlineStr">
        <is>
          <t>NEW</t>
        </is>
      </c>
    </row>
    <row r="270">
      <c r="A270" s="7" t="inlineStr">
        <is>
          <t>貸出管理</t>
        </is>
      </c>
      <c r="B270" s="5" t="inlineStr">
        <is>
          <t>貸出可能機器閲覧</t>
        </is>
      </c>
      <c r="C270" s="5" t="inlineStr">
        <is>
          <t>カテゴリ別表示</t>
        </is>
      </c>
      <c r="D270" s="5" t="inlineStr">
        <is>
          <t>ポンプ/モニタ/呼吸器等カテゴリ別の機器一覧</t>
        </is>
      </c>
      <c r="E270" s="14" t="inlineStr">
        <is>
          <t>https://ryota-wata.github.io/medical-device-mgmt/lending-available</t>
        </is>
      </c>
      <c r="F270" s="6" t="n">
        <v>12</v>
      </c>
      <c r="G270" s="6">
        <f>F270*$G$303</f>
        <v/>
      </c>
      <c r="H270" s="6" t="n">
        <v>4</v>
      </c>
      <c r="I270" s="6">
        <f>H270-2</f>
        <v/>
      </c>
      <c r="J270" s="6">
        <f>SUM(F270+I270)</f>
        <v/>
      </c>
      <c r="K270" s="5" t="inlineStr">
        <is>
          <t>NEW</t>
        </is>
      </c>
    </row>
    <row r="271">
      <c r="A271" s="5" t="n"/>
      <c r="B271" s="5" t="n"/>
      <c r="C271" s="5" t="inlineStr">
        <is>
          <t>在庫数表示</t>
        </is>
      </c>
      <c r="D271" s="5" t="inlineStr">
        <is>
          <t>部署別の貸出可能数表示</t>
        </is>
      </c>
      <c r="F271" s="6" t="n">
        <v>12</v>
      </c>
      <c r="G271" s="6">
        <f>F271*$G$303</f>
        <v/>
      </c>
      <c r="H271" s="6" t="n">
        <v>4</v>
      </c>
      <c r="I271" s="6">
        <f>H271-2</f>
        <v/>
      </c>
      <c r="J271" s="6">
        <f>SUM(F271+I271)</f>
        <v/>
      </c>
      <c r="K271" s="5" t="inlineStr">
        <is>
          <t>NEW</t>
        </is>
      </c>
    </row>
    <row r="272">
      <c r="A272" s="5" t="n"/>
      <c r="B272" s="5" t="n"/>
      <c r="C272" s="5" t="inlineStr">
        <is>
          <t>フィルター機能</t>
        </is>
      </c>
      <c r="D272" s="5" t="inlineStr">
        <is>
          <t>カテゴリ・機器名フィルター</t>
        </is>
      </c>
      <c r="F272" s="6" t="n">
        <v>12</v>
      </c>
      <c r="G272" s="6">
        <f>F272*$G$303</f>
        <v/>
      </c>
      <c r="H272" s="6" t="n">
        <v>4</v>
      </c>
      <c r="I272" s="6">
        <f>H272-2</f>
        <v/>
      </c>
      <c r="J272" s="6">
        <f>SUM(F272+I272)</f>
        <v/>
      </c>
      <c r="K272" s="5" t="inlineStr">
        <is>
          <t>NEW</t>
        </is>
      </c>
    </row>
    <row r="273">
      <c r="A273" s="5" t="n"/>
      <c r="B273" s="5" t="inlineStr">
        <is>
          <t>貸出・返却</t>
        </is>
      </c>
      <c r="C273" s="5" t="inlineStr">
        <is>
          <t>QRスキャン</t>
        </is>
      </c>
      <c r="D273" s="5" t="inlineStr">
        <is>
          <t>QRコード読取で機器情報取得</t>
        </is>
      </c>
      <c r="E273" s="14" t="inlineStr">
        <is>
          <t>https://ryota-wata.github.io/medical-device-mgmt/lending-checkout</t>
        </is>
      </c>
      <c r="F273" s="6" t="n">
        <v>12</v>
      </c>
      <c r="G273" s="6">
        <f>F273*$G$303</f>
        <v/>
      </c>
      <c r="H273" s="6" t="n">
        <v>4</v>
      </c>
      <c r="I273" s="6">
        <f>H273-2</f>
        <v/>
      </c>
      <c r="J273" s="6">
        <f>SUM(F273+I273)</f>
        <v/>
      </c>
      <c r="K273" s="5" t="inlineStr">
        <is>
          <t>NEW</t>
        </is>
      </c>
    </row>
    <row r="274">
      <c r="A274" s="5" t="n"/>
      <c r="B274" s="5" t="n"/>
      <c r="C274" s="5" t="inlineStr">
        <is>
          <t>貸出処理</t>
        </is>
      </c>
      <c r="D274" s="5" t="inlineStr">
        <is>
          <t>スタッフID検索・返却期日設定・貸出確定</t>
        </is>
      </c>
      <c r="F274" s="6" t="n">
        <v>16</v>
      </c>
      <c r="G274" s="6">
        <f>F274*$G$303</f>
        <v/>
      </c>
      <c r="H274" s="6" t="n">
        <v>5</v>
      </c>
      <c r="I274" s="6">
        <f>H274-2</f>
        <v/>
      </c>
      <c r="J274" s="6">
        <f>SUM(F274+I274)</f>
        <v/>
      </c>
      <c r="K274" s="5" t="inlineStr">
        <is>
          <t>NEW</t>
        </is>
      </c>
    </row>
    <row r="275">
      <c r="A275" s="5" t="n"/>
      <c r="B275" s="5" t="n"/>
      <c r="C275" s="5" t="inlineStr">
        <is>
          <t>返却処理</t>
        </is>
      </c>
      <c r="D275" s="5" t="inlineStr">
        <is>
          <t>返却確認・貸出者情報表示</t>
        </is>
      </c>
      <c r="F275" s="6" t="n">
        <v>12</v>
      </c>
      <c r="G275" s="6">
        <f>F275*$G$303</f>
        <v/>
      </c>
      <c r="H275" s="6" t="n">
        <v>4</v>
      </c>
      <c r="I275" s="6">
        <f>H275-2</f>
        <v/>
      </c>
      <c r="J275" s="6">
        <f>SUM(F275+I275)</f>
        <v/>
      </c>
      <c r="K275" s="5" t="inlineStr">
        <is>
          <t>NEW</t>
        </is>
      </c>
    </row>
    <row r="276">
      <c r="A276" s="5" t="n"/>
      <c r="B276" s="5" t="n"/>
      <c r="C276" s="5" t="inlineStr">
        <is>
          <t>ステータス表示</t>
        </is>
      </c>
      <c r="D276" s="5" t="inlineStr">
        <is>
          <t>在庫中/貸出中ステータス表示</t>
        </is>
      </c>
      <c r="F276" s="6" t="n">
        <v>8</v>
      </c>
      <c r="G276" s="6">
        <f>F276*$G$303</f>
        <v/>
      </c>
      <c r="H276" s="6" t="n">
        <v>2.5</v>
      </c>
      <c r="I276" s="6">
        <f>H276-2</f>
        <v/>
      </c>
      <c r="J276" s="6">
        <f>SUM(F276+I276)</f>
        <v/>
      </c>
      <c r="K276" s="5" t="inlineStr">
        <is>
          <t>NEW</t>
        </is>
      </c>
    </row>
    <row r="277">
      <c r="A277" s="5" t="n"/>
      <c r="B277" s="5" t="inlineStr">
        <is>
          <t>借用管理タスク</t>
        </is>
      </c>
      <c r="C277" s="5" t="inlineStr">
        <is>
          <t>ステップ進捗表示</t>
        </is>
      </c>
      <c r="D277" s="5" t="inlineStr">
        <is>
          <t>承認→契約登録→日程調整→納品確認→返却処理の5ステップ</t>
        </is>
      </c>
      <c r="E277" s="14" t="inlineStr">
        <is>
          <t>https://ryota-wata.github.io/medical-device-mgmt/borrowing-task</t>
        </is>
      </c>
      <c r="F277" s="6" t="n">
        <v>12</v>
      </c>
      <c r="G277" s="6">
        <f>F277*$G$303</f>
        <v/>
      </c>
      <c r="H277" s="6" t="n">
        <v>4</v>
      </c>
      <c r="I277" s="6">
        <f>H277-2</f>
        <v/>
      </c>
      <c r="J277" s="6">
        <f>SUM(F277+I277)</f>
        <v/>
      </c>
      <c r="K277" s="5" t="inlineStr">
        <is>
          <t>NEW</t>
        </is>
      </c>
    </row>
    <row r="278">
      <c r="A278" s="5" t="n"/>
      <c r="B278" s="5" t="n"/>
      <c r="C278" s="5" t="inlineStr">
        <is>
          <t>ステータス管理</t>
        </is>
      </c>
      <c r="D278" s="5" t="inlineStr">
        <is>
          <t>申請中/承認済/契約締結/日程確定/貸出中/返却済/却下</t>
        </is>
      </c>
      <c r="F278" s="6" t="n">
        <v>12</v>
      </c>
      <c r="G278" s="6">
        <f>F278*$G$303</f>
        <v/>
      </c>
      <c r="H278" s="6" t="n">
        <v>4</v>
      </c>
      <c r="I278" s="6">
        <f>H278-2</f>
        <v/>
      </c>
      <c r="J278" s="6">
        <f>SUM(F278+I278)</f>
        <v/>
      </c>
      <c r="K278" s="5" t="inlineStr">
        <is>
          <t>NEW</t>
        </is>
      </c>
    </row>
    <row r="279">
      <c r="A279" s="5" t="n"/>
      <c r="B279" s="5" t="n"/>
      <c r="C279" s="5" t="inlineStr">
        <is>
          <t>承認処理</t>
        </is>
      </c>
      <c r="D279" s="5" t="inlineStr">
        <is>
          <t>借用申請の承認/却下</t>
        </is>
      </c>
      <c r="F279" s="6" t="n">
        <v>12</v>
      </c>
      <c r="G279" s="6">
        <f>F279*$G$303</f>
        <v/>
      </c>
      <c r="H279" s="6" t="n">
        <v>4</v>
      </c>
      <c r="I279" s="6">
        <f>H279-2</f>
        <v/>
      </c>
      <c r="J279" s="6">
        <f>SUM(F279+I279)</f>
        <v/>
      </c>
      <c r="K279" s="5" t="inlineStr">
        <is>
          <t>NEW</t>
        </is>
      </c>
    </row>
    <row r="280">
      <c r="A280" s="5" t="n"/>
      <c r="B280" s="5" t="n"/>
      <c r="C280" s="5" t="inlineStr">
        <is>
          <t>契約登録</t>
        </is>
      </c>
      <c r="D280" s="5" t="inlineStr">
        <is>
          <t>契約書アップロード・ドキュメント種別選択</t>
        </is>
      </c>
      <c r="F280" s="6" t="n">
        <v>16</v>
      </c>
      <c r="G280" s="6">
        <f>F280*$G$303</f>
        <v/>
      </c>
      <c r="H280" s="6" t="n">
        <v>5</v>
      </c>
      <c r="I280" s="6">
        <f>H280-2</f>
        <v/>
      </c>
      <c r="J280" s="6">
        <f>SUM(F280+I280)</f>
        <v/>
      </c>
      <c r="K280" s="5" t="inlineStr">
        <is>
          <t>NEW</t>
        </is>
      </c>
    </row>
    <row r="281">
      <c r="A281" s="5" t="n"/>
      <c r="B281" s="5" t="n"/>
      <c r="C281" s="5" t="inlineStr">
        <is>
          <t>日程調整</t>
        </is>
      </c>
      <c r="D281" s="5" t="inlineStr">
        <is>
          <t>納品日設定</t>
        </is>
      </c>
      <c r="F281" s="6" t="n">
        <v>12</v>
      </c>
      <c r="G281" s="6">
        <f>F281*$G$303</f>
        <v/>
      </c>
      <c r="H281" s="6" t="n">
        <v>4</v>
      </c>
      <c r="I281" s="6">
        <f>H281-2</f>
        <v/>
      </c>
      <c r="J281" s="6">
        <f>SUM(F281+I281)</f>
        <v/>
      </c>
      <c r="K281" s="5" t="inlineStr">
        <is>
          <t>NEW</t>
        </is>
      </c>
    </row>
    <row r="282">
      <c r="A282" s="5" t="n"/>
      <c r="B282" s="5" t="n"/>
      <c r="C282" s="5" t="inlineStr">
        <is>
          <t>納品確認</t>
        </is>
      </c>
      <c r="D282" s="5" t="inlineStr">
        <is>
          <t>納品確認処理</t>
        </is>
      </c>
      <c r="F282" s="6" t="n">
        <v>12</v>
      </c>
      <c r="G282" s="6">
        <f>F282*$G$303</f>
        <v/>
      </c>
      <c r="H282" s="6" t="n">
        <v>4</v>
      </c>
      <c r="I282" s="6">
        <f>H282-2</f>
        <v/>
      </c>
      <c r="J282" s="6">
        <f>SUM(F282+I282)</f>
        <v/>
      </c>
      <c r="K282" s="5" t="inlineStr">
        <is>
          <t>NEW</t>
        </is>
      </c>
    </row>
    <row r="283">
      <c r="A283" s="5" t="n"/>
      <c r="B283" s="5" t="n"/>
      <c r="C283" s="5" t="inlineStr">
        <is>
          <t>返却処理</t>
        </is>
      </c>
      <c r="D283" s="5" t="inlineStr">
        <is>
          <t>返却確認処理</t>
        </is>
      </c>
      <c r="F283" s="6" t="n">
        <v>12</v>
      </c>
      <c r="G283" s="6">
        <f>F283*$G$303</f>
        <v/>
      </c>
      <c r="H283" s="6" t="n">
        <v>4</v>
      </c>
      <c r="I283" s="6">
        <f>H283-2</f>
        <v/>
      </c>
      <c r="J283" s="6">
        <f>SUM(F283+I283)</f>
        <v/>
      </c>
      <c r="K283" s="5" t="inlineStr">
        <is>
          <t>NEW</t>
        </is>
      </c>
    </row>
    <row r="284">
      <c r="A284" s="7" t="inlineStr">
        <is>
          <t>廃棄管理</t>
        </is>
      </c>
      <c r="B284" s="5" t="inlineStr">
        <is>
          <t>廃棄タスク</t>
        </is>
      </c>
      <c r="C284" s="5" t="inlineStr">
        <is>
          <t>ステップ進捗表示</t>
        </is>
      </c>
      <c r="D284" s="5" t="inlineStr">
        <is>
          <t>受付→見積登録→発注登録→検収登録→完了処理の5ステップ</t>
        </is>
      </c>
      <c r="E284" s="14" t="inlineStr">
        <is>
          <t>https://ryota-wata.github.io/medical-device-mgmt/disposal-task</t>
        </is>
      </c>
      <c r="F284" s="6" t="n">
        <v>12</v>
      </c>
      <c r="G284" s="6">
        <f>F284*$G$303</f>
        <v/>
      </c>
      <c r="H284" s="6" t="n">
        <v>4</v>
      </c>
      <c r="I284" s="6">
        <f>H284-2</f>
        <v/>
      </c>
      <c r="J284" s="6">
        <f>SUM(F284+I284)</f>
        <v/>
      </c>
      <c r="K284" s="5" t="inlineStr">
        <is>
          <t>NEW</t>
        </is>
      </c>
    </row>
    <row r="285">
      <c r="A285" s="5" t="n"/>
      <c r="B285" s="5" t="n"/>
      <c r="C285" s="5" t="inlineStr">
        <is>
          <t>ステータス管理</t>
        </is>
      </c>
      <c r="D285" s="5" t="inlineStr">
        <is>
          <t>申請中/受付済/見積取得済/発注済/検収済</t>
        </is>
      </c>
      <c r="F285" s="6" t="n">
        <v>12</v>
      </c>
      <c r="G285" s="6">
        <f>F285*$G$303</f>
        <v/>
      </c>
      <c r="H285" s="6" t="n">
        <v>4</v>
      </c>
      <c r="I285" s="6">
        <f>H285-2</f>
        <v/>
      </c>
      <c r="J285" s="6">
        <f>SUM(F285+I285)</f>
        <v/>
      </c>
      <c r="K285" s="5" t="inlineStr">
        <is>
          <t>NEW</t>
        </is>
      </c>
    </row>
    <row r="286">
      <c r="A286" s="5" t="n"/>
      <c r="B286" s="5" t="n"/>
      <c r="C286" s="5" t="inlineStr">
        <is>
          <t>見積登録</t>
        </is>
      </c>
      <c r="D286" s="5" t="inlineStr">
        <is>
          <t>見積書PDFアップロード・業者名・保存形式選択</t>
        </is>
      </c>
      <c r="F286" s="6" t="n">
        <v>16</v>
      </c>
      <c r="G286" s="6">
        <f>F286*$G$303</f>
        <v/>
      </c>
      <c r="H286" s="6" t="n">
        <v>5</v>
      </c>
      <c r="I286" s="6">
        <f>H286-2</f>
        <v/>
      </c>
      <c r="J286" s="6">
        <f>SUM(F286+I286)</f>
        <v/>
      </c>
      <c r="K286" s="5" t="inlineStr">
        <is>
          <t>NEW</t>
        </is>
      </c>
    </row>
    <row r="287">
      <c r="A287" s="5" t="n"/>
      <c r="B287" s="5" t="n"/>
      <c r="C287" s="5" t="inlineStr">
        <is>
          <t>発注登録</t>
        </is>
      </c>
      <c r="D287" s="5" t="inlineStr">
        <is>
          <t>発注書アップロード・業者名・保存形式選択</t>
        </is>
      </c>
      <c r="F287" s="6" t="n">
        <v>16</v>
      </c>
      <c r="G287" s="6">
        <f>F287*$G$303</f>
        <v/>
      </c>
      <c r="H287" s="6" t="n">
        <v>5</v>
      </c>
      <c r="I287" s="6">
        <f>H287-2</f>
        <v/>
      </c>
      <c r="J287" s="6">
        <f>SUM(F287+I287)</f>
        <v/>
      </c>
      <c r="K287" s="5" t="inlineStr">
        <is>
          <t>NEW</t>
        </is>
      </c>
    </row>
    <row r="288">
      <c r="A288" s="5" t="n"/>
      <c r="B288" s="5" t="n"/>
      <c r="C288" s="5" t="inlineStr">
        <is>
          <t>検収登録</t>
        </is>
      </c>
      <c r="D288" s="5" t="inlineStr">
        <is>
          <t>検収書アップロード・保存形式選択</t>
        </is>
      </c>
      <c r="F288" s="6" t="n">
        <v>16</v>
      </c>
      <c r="G288" s="6">
        <f>F288*$G$303</f>
        <v/>
      </c>
      <c r="H288" s="6" t="n">
        <v>5</v>
      </c>
      <c r="I288" s="6">
        <f>H288-2</f>
        <v/>
      </c>
      <c r="J288" s="6">
        <f>SUM(F288+I288)</f>
        <v/>
      </c>
      <c r="K288" s="5" t="inlineStr">
        <is>
          <t>NEW</t>
        </is>
      </c>
    </row>
    <row r="289">
      <c r="A289" s="5" t="n"/>
      <c r="B289" s="5" t="n"/>
      <c r="C289" s="5" t="inlineStr">
        <is>
          <t>完了処理</t>
        </is>
      </c>
      <c r="D289" s="5" t="inlineStr">
        <is>
          <t>廃棄証明書アップロード・完了処理</t>
        </is>
      </c>
      <c r="F289" s="6" t="n">
        <v>16</v>
      </c>
      <c r="G289" s="6">
        <f>F289*$G$303</f>
        <v/>
      </c>
      <c r="H289" s="6" t="n">
        <v>5</v>
      </c>
      <c r="I289" s="6">
        <f>H289-2</f>
        <v/>
      </c>
      <c r="J289" s="6">
        <f>SUM(F289+I289)</f>
        <v/>
      </c>
      <c r="K289" s="5" t="inlineStr">
        <is>
          <t>NEW</t>
        </is>
      </c>
    </row>
    <row r="290">
      <c r="A290" s="5" t="n"/>
      <c r="B290" s="5" t="n"/>
      <c r="C290" s="5" t="inlineStr">
        <is>
          <t>ドキュメント管理</t>
        </is>
      </c>
      <c r="D290" s="5" t="inlineStr">
        <is>
          <t>各ステップの登録書類一覧表示</t>
        </is>
      </c>
      <c r="F290" s="6" t="n">
        <v>12</v>
      </c>
      <c r="G290" s="6">
        <f>F290*$G$303</f>
        <v/>
      </c>
      <c r="H290" s="6" t="n">
        <v>4</v>
      </c>
      <c r="I290" s="6">
        <f>H290-2</f>
        <v/>
      </c>
      <c r="J290" s="6">
        <f>SUM(F290+I290)</f>
        <v/>
      </c>
      <c r="K290" s="5" t="inlineStr">
        <is>
          <t>NEW</t>
        </is>
      </c>
    </row>
    <row r="291">
      <c r="A291" s="2" t="inlineStr">
        <is>
          <t>通常申請管理</t>
        </is>
      </c>
      <c r="B291" s="3" t="inlineStr">
        <is>
          <t>通常申請一覧</t>
        </is>
      </c>
      <c r="C291" s="3" t="inlineStr">
        <is>
          <t>フィルター機能</t>
        </is>
      </c>
      <c r="D291" s="3" t="inlineStr">
        <is>
          <t>申請種別・ステータス・日付等フィルター</t>
        </is>
      </c>
      <c r="F291" s="4" t="n">
        <v>12</v>
      </c>
      <c r="G291" s="4">
        <f>F291*$G$303</f>
        <v/>
      </c>
      <c r="H291" s="4" t="n">
        <v>4</v>
      </c>
      <c r="I291" s="4">
        <f>H291-2</f>
        <v/>
      </c>
      <c r="J291" s="4">
        <f>SUM(F291+I291)</f>
        <v/>
      </c>
      <c r="K291" s="3" t="inlineStr"/>
    </row>
    <row r="292">
      <c r="A292" s="3" t="n"/>
      <c r="B292" s="3" t="n"/>
      <c r="C292" s="3" t="inlineStr">
        <is>
          <t>テーブル表示</t>
        </is>
      </c>
      <c r="D292" s="3" t="inlineStr">
        <is>
          <t>申請一覧テーブル表示</t>
        </is>
      </c>
      <c r="F292" s="4" t="n">
        <v>12</v>
      </c>
      <c r="G292" s="4">
        <f>F292*$G$303</f>
        <v/>
      </c>
      <c r="H292" s="4" t="n">
        <v>4</v>
      </c>
      <c r="I292" s="4">
        <f>H292-2</f>
        <v/>
      </c>
      <c r="J292" s="4">
        <f>SUM(F292+I292)</f>
        <v/>
      </c>
      <c r="K292" s="3" t="inlineStr"/>
    </row>
    <row r="293">
      <c r="A293" s="3" t="n"/>
      <c r="B293" s="3" t="n"/>
      <c r="C293" s="3" t="inlineStr">
        <is>
          <t>複数選択</t>
        </is>
      </c>
      <c r="D293" s="3" t="inlineStr">
        <is>
          <t>チェックボックス複数選択</t>
        </is>
      </c>
      <c r="F293" s="4" t="n">
        <v>12</v>
      </c>
      <c r="G293" s="4">
        <f>F293*$G$303</f>
        <v/>
      </c>
      <c r="H293" s="4" t="n">
        <v>4</v>
      </c>
      <c r="I293" s="4">
        <f>H293-2</f>
        <v/>
      </c>
      <c r="J293" s="4">
        <f>SUM(F293+I293)</f>
        <v/>
      </c>
      <c r="K293" s="3" t="inlineStr"/>
    </row>
    <row r="294">
      <c r="A294" s="3" t="n"/>
      <c r="B294" s="3" t="n"/>
      <c r="C294" s="3" t="inlineStr">
        <is>
          <t>申請詳細表示</t>
        </is>
      </c>
      <c r="D294" s="3" t="inlineStr">
        <is>
          <t>申請詳細モーダル表示</t>
        </is>
      </c>
      <c r="F294" s="4" t="n">
        <v>16</v>
      </c>
      <c r="G294" s="4">
        <f>F294*$G$303</f>
        <v/>
      </c>
      <c r="H294" s="4" t="n">
        <v>5</v>
      </c>
      <c r="I294" s="4">
        <f>H294-2</f>
        <v/>
      </c>
      <c r="J294" s="4">
        <f>SUM(F294+I294)</f>
        <v/>
      </c>
      <c r="K294" s="3" t="inlineStr"/>
    </row>
    <row r="295">
      <c r="A295" s="3" t="n"/>
      <c r="B295" s="3" t="n"/>
      <c r="C295" s="3" t="inlineStr">
        <is>
          <t>申請編集</t>
        </is>
      </c>
      <c r="D295" s="3" t="inlineStr">
        <is>
          <t>申請内容編集</t>
        </is>
      </c>
      <c r="F295" s="4" t="n">
        <v>16</v>
      </c>
      <c r="G295" s="4">
        <f>F295*$G$303</f>
        <v/>
      </c>
      <c r="H295" s="4" t="n">
        <v>5</v>
      </c>
      <c r="I295" s="4">
        <f>H295-2</f>
        <v/>
      </c>
      <c r="J295" s="4">
        <f>SUM(F295+I295)</f>
        <v/>
      </c>
      <c r="K295" s="3" t="inlineStr"/>
    </row>
    <row r="296">
      <c r="A296" s="3" t="n"/>
      <c r="B296" s="3" t="n"/>
      <c r="C296" s="3" t="inlineStr">
        <is>
          <t>申請削除</t>
        </is>
      </c>
      <c r="D296" s="3" t="inlineStr">
        <is>
          <t>申請削除処理</t>
        </is>
      </c>
      <c r="F296" s="4" t="n">
        <v>8</v>
      </c>
      <c r="G296" s="4">
        <f>F296*$G$303</f>
        <v/>
      </c>
      <c r="H296" s="4" t="n">
        <v>2.5</v>
      </c>
      <c r="I296" s="4">
        <f>H296-2</f>
        <v/>
      </c>
      <c r="J296" s="4">
        <f>SUM(F296+I296)</f>
        <v/>
      </c>
      <c r="K296" s="3" t="inlineStr"/>
    </row>
    <row r="297">
      <c r="A297" s="3" t="n"/>
      <c r="B297" s="3" t="n"/>
      <c r="C297" s="3" t="inlineStr">
        <is>
          <t>ステータスバッジ</t>
        </is>
      </c>
      <c r="D297" s="3" t="inlineStr">
        <is>
          <t>ステータス別バッジ表示</t>
        </is>
      </c>
      <c r="F297" s="4" t="n">
        <v>16</v>
      </c>
      <c r="G297" s="4">
        <f>F297*$G$303</f>
        <v/>
      </c>
      <c r="H297" s="4" t="n">
        <v>5</v>
      </c>
      <c r="I297" s="4">
        <f>H297-2</f>
        <v/>
      </c>
      <c r="J297" s="4">
        <f>SUM(F297+I297)</f>
        <v/>
      </c>
      <c r="K297" s="3" t="inlineStr"/>
    </row>
    <row r="298">
      <c r="A298" s="3" t="n"/>
      <c r="B298" s="3" t="n"/>
      <c r="C298" s="3" t="inlineStr">
        <is>
          <t>新規・更新・増設執行モーダル</t>
        </is>
      </c>
      <c r="D298" s="3" t="inlineStr">
        <is>
          <t>原本ドキュメント登録・テンプレート出力：「検収書」・原本リストにレコード追加</t>
        </is>
      </c>
      <c r="F298" s="4" t="n">
        <v>16</v>
      </c>
      <c r="G298" s="4">
        <f>F298*$G$303</f>
        <v/>
      </c>
      <c r="H298" s="4" t="n">
        <v>5</v>
      </c>
      <c r="I298" s="4">
        <f>H298-2</f>
        <v/>
      </c>
      <c r="J298" s="4">
        <f>SUM(F298+I298)</f>
        <v/>
      </c>
      <c r="K298" s="3" t="inlineStr"/>
    </row>
    <row r="299">
      <c r="A299" s="3" t="n"/>
      <c r="B299" s="3" t="n"/>
      <c r="C299" s="3" t="inlineStr">
        <is>
          <t>廃棄執行モーダル</t>
        </is>
      </c>
      <c r="D299" s="3" t="inlineStr">
        <is>
          <t>原本ドキュメント登録・テンプレート出力：「資産除却届」「検収書」・原本リストのレコード削除</t>
        </is>
      </c>
      <c r="F299" s="4" t="n">
        <v>16</v>
      </c>
      <c r="G299" s="4">
        <f>F299*$G$303</f>
        <v/>
      </c>
      <c r="H299" s="4" t="n">
        <v>5</v>
      </c>
      <c r="I299" s="4">
        <f>H299-2</f>
        <v/>
      </c>
      <c r="J299" s="4">
        <f>SUM(F299+I299)</f>
        <v/>
      </c>
      <c r="K299" s="3" t="inlineStr"/>
    </row>
    <row r="300">
      <c r="A300" s="3" t="n"/>
      <c r="B300" s="3" t="n"/>
      <c r="C300" s="3" t="inlineStr">
        <is>
          <t>移動執行モーダル</t>
        </is>
      </c>
      <c r="D300" s="3" t="inlineStr">
        <is>
          <t>原本ドキュメント登録・原本リストのレコード更新</t>
        </is>
      </c>
      <c r="F300" s="4" t="n">
        <v>16</v>
      </c>
      <c r="G300" s="4">
        <f>F300*$G$303</f>
        <v/>
      </c>
      <c r="H300" s="4" t="n">
        <v>5</v>
      </c>
      <c r="I300" s="4">
        <f>H300-2</f>
        <v/>
      </c>
      <c r="J300" s="4">
        <f>SUM(F300+I300)</f>
        <v/>
      </c>
      <c r="K300" s="3" t="inlineStr"/>
    </row>
    <row r="301">
      <c r="A301" s="8" t="inlineStr">
        <is>
          <t>【合計】</t>
        </is>
      </c>
      <c r="B301" s="8" t="n"/>
      <c r="C301" s="8" t="n"/>
      <c r="D301" s="8" t="n"/>
      <c r="F301" s="13">
        <f>SUM(F2:F300)</f>
        <v/>
      </c>
      <c r="G301" s="13">
        <f>SUM(G2:G300)</f>
        <v/>
      </c>
      <c r="H301" s="13">
        <f>SUM(H2:H300)</f>
        <v/>
      </c>
      <c r="I301" s="13">
        <f>SUM(I2:I300)</f>
        <v/>
      </c>
      <c r="J301" s="13">
        <f>SUM(J2:J300)</f>
        <v/>
      </c>
      <c r="K301" s="8" t="n"/>
    </row>
    <row r="303">
      <c r="G303" t="n">
        <v>1.2</v>
      </c>
      <c r="I303">
        <f>I301/8/20</f>
        <v/>
      </c>
    </row>
    <row r="305">
      <c r="F305" t="inlineStr">
        <is>
          <t>先んじて着手できる開発</t>
        </is>
      </c>
    </row>
  </sheetData>
  <autoFilter ref="A1:J285"/>
  <hyperlinks>
    <hyperlink xmlns:r="http://schemas.openxmlformats.org/officeDocument/2006/relationships" ref="E3" r:id="rId1"/>
    <hyperlink xmlns:r="http://schemas.openxmlformats.org/officeDocument/2006/relationships" ref="E6" r:id="rId2"/>
    <hyperlink xmlns:r="http://schemas.openxmlformats.org/officeDocument/2006/relationships" ref="E8" r:id="rId3"/>
    <hyperlink xmlns:r="http://schemas.openxmlformats.org/officeDocument/2006/relationships" ref="E19" r:id="rId4"/>
    <hyperlink xmlns:r="http://schemas.openxmlformats.org/officeDocument/2006/relationships" ref="E24" r:id="rId5"/>
    <hyperlink xmlns:r="http://schemas.openxmlformats.org/officeDocument/2006/relationships" ref="E32" r:id="rId6"/>
    <hyperlink xmlns:r="http://schemas.openxmlformats.org/officeDocument/2006/relationships" ref="E36" r:id="rId7"/>
    <hyperlink xmlns:r="http://schemas.openxmlformats.org/officeDocument/2006/relationships" ref="E41" r:id="rId8"/>
    <hyperlink xmlns:r="http://schemas.openxmlformats.org/officeDocument/2006/relationships" ref="E48" r:id="rId9"/>
    <hyperlink xmlns:r="http://schemas.openxmlformats.org/officeDocument/2006/relationships" ref="E57" r:id="rId10"/>
    <hyperlink xmlns:r="http://schemas.openxmlformats.org/officeDocument/2006/relationships" ref="E63" r:id="rId11"/>
    <hyperlink xmlns:r="http://schemas.openxmlformats.org/officeDocument/2006/relationships" ref="E67" r:id="rId12"/>
    <hyperlink xmlns:r="http://schemas.openxmlformats.org/officeDocument/2006/relationships" ref="E71" r:id="rId13"/>
    <hyperlink xmlns:r="http://schemas.openxmlformats.org/officeDocument/2006/relationships" ref="E74" r:id="rId14"/>
    <hyperlink xmlns:r="http://schemas.openxmlformats.org/officeDocument/2006/relationships" ref="E86" r:id="rId15"/>
    <hyperlink xmlns:r="http://schemas.openxmlformats.org/officeDocument/2006/relationships" ref="E89" r:id="rId16"/>
    <hyperlink xmlns:r="http://schemas.openxmlformats.org/officeDocument/2006/relationships" ref="E99" r:id="rId17"/>
    <hyperlink xmlns:r="http://schemas.openxmlformats.org/officeDocument/2006/relationships" ref="E104" r:id="rId18"/>
    <hyperlink xmlns:r="http://schemas.openxmlformats.org/officeDocument/2006/relationships" ref="E111" r:id="rId19"/>
    <hyperlink xmlns:r="http://schemas.openxmlformats.org/officeDocument/2006/relationships" ref="E117" r:id="rId20"/>
    <hyperlink xmlns:r="http://schemas.openxmlformats.org/officeDocument/2006/relationships" ref="E121" r:id="rId21"/>
    <hyperlink xmlns:r="http://schemas.openxmlformats.org/officeDocument/2006/relationships" ref="E133" r:id="rId22"/>
    <hyperlink xmlns:r="http://schemas.openxmlformats.org/officeDocument/2006/relationships" ref="E141" r:id="rId23"/>
    <hyperlink xmlns:r="http://schemas.openxmlformats.org/officeDocument/2006/relationships" ref="E151" r:id="rId24"/>
    <hyperlink xmlns:r="http://schemas.openxmlformats.org/officeDocument/2006/relationships" ref="E166" r:id="rId25"/>
    <hyperlink xmlns:r="http://schemas.openxmlformats.org/officeDocument/2006/relationships" ref="E176" r:id="rId26"/>
    <hyperlink xmlns:r="http://schemas.openxmlformats.org/officeDocument/2006/relationships" ref="E177" r:id="rId27"/>
    <hyperlink xmlns:r="http://schemas.openxmlformats.org/officeDocument/2006/relationships" ref="E180" r:id="rId28"/>
    <hyperlink xmlns:r="http://schemas.openxmlformats.org/officeDocument/2006/relationships" ref="E186" r:id="rId29"/>
    <hyperlink xmlns:r="http://schemas.openxmlformats.org/officeDocument/2006/relationships" ref="E195" r:id="rId30"/>
    <hyperlink xmlns:r="http://schemas.openxmlformats.org/officeDocument/2006/relationships" ref="E196" r:id="rId31"/>
    <hyperlink xmlns:r="http://schemas.openxmlformats.org/officeDocument/2006/relationships" ref="E197" r:id="rId32"/>
    <hyperlink xmlns:r="http://schemas.openxmlformats.org/officeDocument/2006/relationships" ref="E198" r:id="rId33"/>
    <hyperlink xmlns:r="http://schemas.openxmlformats.org/officeDocument/2006/relationships" ref="E201" r:id="rId34"/>
    <hyperlink xmlns:r="http://schemas.openxmlformats.org/officeDocument/2006/relationships" ref="E206" r:id="rId35"/>
    <hyperlink xmlns:r="http://schemas.openxmlformats.org/officeDocument/2006/relationships" ref="E210" r:id="rId36"/>
    <hyperlink xmlns:r="http://schemas.openxmlformats.org/officeDocument/2006/relationships" ref="E215" r:id="rId37"/>
    <hyperlink xmlns:r="http://schemas.openxmlformats.org/officeDocument/2006/relationships" ref="E221" r:id="rId38"/>
    <hyperlink xmlns:r="http://schemas.openxmlformats.org/officeDocument/2006/relationships" ref="E224" r:id="rId39"/>
    <hyperlink xmlns:r="http://schemas.openxmlformats.org/officeDocument/2006/relationships" ref="E227" r:id="rId40"/>
    <hyperlink xmlns:r="http://schemas.openxmlformats.org/officeDocument/2006/relationships" ref="E229" r:id="rId41"/>
    <hyperlink xmlns:r="http://schemas.openxmlformats.org/officeDocument/2006/relationships" ref="E231" r:id="rId42"/>
    <hyperlink xmlns:r="http://schemas.openxmlformats.org/officeDocument/2006/relationships" ref="E234" r:id="rId43"/>
    <hyperlink xmlns:r="http://schemas.openxmlformats.org/officeDocument/2006/relationships" ref="E237" r:id="rId44"/>
    <hyperlink xmlns:r="http://schemas.openxmlformats.org/officeDocument/2006/relationships" ref="E241" r:id="rId45"/>
    <hyperlink xmlns:r="http://schemas.openxmlformats.org/officeDocument/2006/relationships" ref="E245" r:id="rId46"/>
    <hyperlink xmlns:r="http://schemas.openxmlformats.org/officeDocument/2006/relationships" ref="E248" r:id="rId47"/>
    <hyperlink xmlns:r="http://schemas.openxmlformats.org/officeDocument/2006/relationships" ref="E252" r:id="rId48"/>
    <hyperlink xmlns:r="http://schemas.openxmlformats.org/officeDocument/2006/relationships" ref="E255" r:id="rId49"/>
    <hyperlink xmlns:r="http://schemas.openxmlformats.org/officeDocument/2006/relationships" ref="E263" r:id="rId50"/>
    <hyperlink xmlns:r="http://schemas.openxmlformats.org/officeDocument/2006/relationships" ref="E270" r:id="rId51"/>
    <hyperlink xmlns:r="http://schemas.openxmlformats.org/officeDocument/2006/relationships" ref="E273" r:id="rId52"/>
    <hyperlink xmlns:r="http://schemas.openxmlformats.org/officeDocument/2006/relationships" ref="E277" r:id="rId53"/>
    <hyperlink xmlns:r="http://schemas.openxmlformats.org/officeDocument/2006/relationships" ref="E284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2026-03-01T14:53:55Z</dcterms:created>
  <dcterms:modified xmlns:dcterms="http://purl.org/dc/terms/" xmlns:xsi="http://www.w3.org/2001/XMLSchema-instance" xsi:type="dcterms:W3CDTF">2026-03-03T01:01:37Z</dcterms:modified>
</cp:coreProperties>
</file>