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tanaberyouta/Desktop/medical-device-mgmt/docs/"/>
    </mc:Choice>
  </mc:AlternateContent>
  <xr:revisionPtr revIDLastSave="0" documentId="13_ncr:1_{786492F8-CEBD-BB45-980E-1E0FEB9138AB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機能一覧" sheetId="1" r:id="rId1"/>
    <sheet name="インフラ" sheetId="5" r:id="rId2"/>
    <sheet name="工程別見積" sheetId="4" r:id="rId3"/>
    <sheet name="山積み" sheetId="2" r:id="rId4"/>
    <sheet name="単価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G30" i="1"/>
  <c r="G177" i="1"/>
  <c r="G176" i="1"/>
  <c r="G175" i="1"/>
  <c r="G151" i="1"/>
  <c r="G150" i="1"/>
  <c r="G149" i="1"/>
  <c r="G148" i="1"/>
  <c r="G147" i="1"/>
  <c r="U13" i="2"/>
  <c r="U24" i="2"/>
  <c r="AA13" i="2"/>
  <c r="X13" i="2"/>
  <c r="AD13" i="2"/>
  <c r="U8" i="2"/>
  <c r="U9" i="2"/>
  <c r="U10" i="2"/>
  <c r="U11" i="2"/>
  <c r="AA34" i="2"/>
  <c r="AA33" i="2"/>
  <c r="AA32" i="2"/>
  <c r="AA31" i="2"/>
  <c r="AA30" i="2"/>
  <c r="AA35" i="2" s="1"/>
  <c r="AA23" i="2"/>
  <c r="AA22" i="2"/>
  <c r="AA21" i="2"/>
  <c r="AA20" i="2"/>
  <c r="AA19" i="2"/>
  <c r="AA24" i="2" s="1"/>
  <c r="X34" i="2"/>
  <c r="X33" i="2"/>
  <c r="X32" i="2"/>
  <c r="X31" i="2"/>
  <c r="X30" i="2"/>
  <c r="X35" i="2" s="1"/>
  <c r="X23" i="2"/>
  <c r="X22" i="2"/>
  <c r="X21" i="2"/>
  <c r="X20" i="2"/>
  <c r="X19" i="2"/>
  <c r="X24" i="2" s="1"/>
  <c r="U30" i="2"/>
  <c r="U34" i="2"/>
  <c r="U33" i="2"/>
  <c r="U32" i="2"/>
  <c r="U31" i="2"/>
  <c r="U35" i="2"/>
  <c r="U23" i="2"/>
  <c r="U22" i="2"/>
  <c r="U21" i="2"/>
  <c r="U20" i="2"/>
  <c r="U19" i="2"/>
  <c r="W12" i="2"/>
  <c r="W9" i="2"/>
  <c r="W10" i="2"/>
  <c r="W11" i="2"/>
  <c r="X11" i="2" s="1"/>
  <c r="W8" i="2"/>
  <c r="T11" i="2"/>
  <c r="T9" i="2"/>
  <c r="T10" i="2"/>
  <c r="T12" i="2"/>
  <c r="U12" i="2" s="1"/>
  <c r="T8" i="2"/>
  <c r="W4" i="2"/>
  <c r="W3" i="2"/>
  <c r="X10" i="2"/>
  <c r="X9" i="2"/>
  <c r="X8" i="2"/>
  <c r="C17" i="3"/>
  <c r="T4" i="2"/>
  <c r="V32" i="2" s="1"/>
  <c r="T33" i="2"/>
  <c r="T32" i="2"/>
  <c r="T31" i="2"/>
  <c r="T30" i="2"/>
  <c r="Z30" i="2"/>
  <c r="W31" i="2"/>
  <c r="W30" i="2"/>
  <c r="T19" i="2"/>
  <c r="W19" i="2"/>
  <c r="Z32" i="2"/>
  <c r="Z31" i="2"/>
  <c r="Z33" i="2"/>
  <c r="Z34" i="2"/>
  <c r="W32" i="2"/>
  <c r="W33" i="2"/>
  <c r="W34" i="2"/>
  <c r="Z10" i="2"/>
  <c r="AA10" i="2" s="1"/>
  <c r="Z8" i="2"/>
  <c r="AA8" i="2" s="1"/>
  <c r="Z20" i="2"/>
  <c r="Z21" i="2"/>
  <c r="Z22" i="2"/>
  <c r="Z23" i="2"/>
  <c r="Z19" i="2"/>
  <c r="W20" i="2"/>
  <c r="W21" i="2"/>
  <c r="W22" i="2"/>
  <c r="W23" i="2"/>
  <c r="T20" i="2"/>
  <c r="T21" i="2"/>
  <c r="T22" i="2"/>
  <c r="T23" i="2"/>
  <c r="T34" i="2"/>
  <c r="Z9" i="2"/>
  <c r="AA9" i="2" s="1"/>
  <c r="Z11" i="2"/>
  <c r="AA11" i="2" s="1"/>
  <c r="Z12" i="2"/>
  <c r="AA12" i="2" s="1"/>
  <c r="X12" i="2"/>
  <c r="D35" i="2"/>
  <c r="E24" i="2"/>
  <c r="D24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E178" i="1"/>
  <c r="D3" i="4" s="1"/>
  <c r="D7" i="4" s="1"/>
  <c r="E7" i="4" s="1"/>
  <c r="E4" i="4"/>
  <c r="E8" i="4"/>
  <c r="G10" i="3"/>
  <c r="G7" i="3"/>
  <c r="G11" i="3" s="1"/>
  <c r="J9" i="3"/>
  <c r="J8" i="3"/>
  <c r="J5" i="3"/>
  <c r="J6" i="3"/>
  <c r="J4" i="3"/>
  <c r="F178" i="1"/>
  <c r="D5" i="4" s="1"/>
  <c r="E5" i="4" s="1"/>
  <c r="G123" i="1"/>
  <c r="G122" i="1"/>
  <c r="G121" i="1"/>
  <c r="G120" i="1"/>
  <c r="G119" i="1"/>
  <c r="G118" i="1"/>
  <c r="G117" i="1"/>
  <c r="G116" i="1"/>
  <c r="G115" i="1"/>
  <c r="G114" i="1"/>
  <c r="G127" i="1"/>
  <c r="G126" i="1"/>
  <c r="G125" i="1"/>
  <c r="G112" i="1"/>
  <c r="G113" i="1"/>
  <c r="G111" i="1"/>
  <c r="G110" i="1"/>
  <c r="G109" i="1"/>
  <c r="G108" i="1"/>
  <c r="G107" i="1"/>
  <c r="G106" i="1"/>
  <c r="G105" i="1"/>
  <c r="G104" i="1"/>
  <c r="G103" i="1"/>
  <c r="G164" i="1"/>
  <c r="G163" i="1"/>
  <c r="G162" i="1"/>
  <c r="G161" i="1"/>
  <c r="G160" i="1"/>
  <c r="G159" i="1"/>
  <c r="G158" i="1"/>
  <c r="G157" i="1"/>
  <c r="G156" i="1"/>
  <c r="G155" i="1"/>
  <c r="G146" i="1"/>
  <c r="G145" i="1"/>
  <c r="G144" i="1"/>
  <c r="G70" i="1"/>
  <c r="G69" i="1"/>
  <c r="G68" i="1"/>
  <c r="AB11" i="2" l="1"/>
  <c r="AB9" i="2"/>
  <c r="V33" i="2"/>
  <c r="V19" i="2"/>
  <c r="V31" i="2"/>
  <c r="V9" i="2"/>
  <c r="Y8" i="2"/>
  <c r="Y13" i="2" s="1"/>
  <c r="V21" i="2"/>
  <c r="Y9" i="2"/>
  <c r="V22" i="2"/>
  <c r="V34" i="2"/>
  <c r="V20" i="2"/>
  <c r="V30" i="2"/>
  <c r="V35" i="2" s="1"/>
  <c r="Y10" i="2"/>
  <c r="AB8" i="2"/>
  <c r="AB13" i="2" s="1"/>
  <c r="V23" i="2"/>
  <c r="AB10" i="2"/>
  <c r="AB12" i="2"/>
  <c r="Y11" i="2"/>
  <c r="Y12" i="2"/>
  <c r="V12" i="2"/>
  <c r="V11" i="2"/>
  <c r="V8" i="2"/>
  <c r="V10" i="2"/>
  <c r="Z13" i="2"/>
  <c r="W13" i="2"/>
  <c r="Y30" i="2"/>
  <c r="Y34" i="2"/>
  <c r="Y22" i="2"/>
  <c r="AB31" i="2"/>
  <c r="AB20" i="2"/>
  <c r="AB33" i="2"/>
  <c r="Y20" i="2"/>
  <c r="AB23" i="2"/>
  <c r="Y33" i="2"/>
  <c r="Y21" i="2"/>
  <c r="AB32" i="2"/>
  <c r="AB21" i="2"/>
  <c r="Y31" i="2"/>
  <c r="AB34" i="2"/>
  <c r="AB30" i="2"/>
  <c r="Y23" i="2"/>
  <c r="AB19" i="2"/>
  <c r="Y19" i="2"/>
  <c r="AB22" i="2"/>
  <c r="Y32" i="2"/>
  <c r="T35" i="2"/>
  <c r="T24" i="2"/>
  <c r="T13" i="2"/>
  <c r="Z35" i="2"/>
  <c r="W35" i="2"/>
  <c r="Z24" i="2"/>
  <c r="W24" i="2"/>
  <c r="E3" i="4"/>
  <c r="E9" i="4" s="1"/>
  <c r="D9" i="4"/>
  <c r="G3" i="1"/>
  <c r="G4" i="1"/>
  <c r="G5" i="1"/>
  <c r="G6" i="1"/>
  <c r="G7" i="1"/>
  <c r="G8" i="1"/>
  <c r="G9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53" i="1"/>
  <c r="G54" i="1"/>
  <c r="G55" i="1"/>
  <c r="G49" i="1"/>
  <c r="G50" i="1"/>
  <c r="G51" i="1"/>
  <c r="G52" i="1"/>
  <c r="G56" i="1"/>
  <c r="G57" i="1"/>
  <c r="G58" i="1"/>
  <c r="G59" i="1"/>
  <c r="G60" i="1"/>
  <c r="G61" i="1"/>
  <c r="G62" i="1"/>
  <c r="G63" i="1"/>
  <c r="G64" i="1"/>
  <c r="G65" i="1"/>
  <c r="G66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5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28" i="1"/>
  <c r="G129" i="1"/>
  <c r="G130" i="1"/>
  <c r="G132" i="1"/>
  <c r="G133" i="1"/>
  <c r="G134" i="1"/>
  <c r="G135" i="1"/>
  <c r="G136" i="1"/>
  <c r="G137" i="1"/>
  <c r="G138" i="1"/>
  <c r="G139" i="1"/>
  <c r="G140" i="1"/>
  <c r="G141" i="1"/>
  <c r="G143" i="1"/>
  <c r="G168" i="1"/>
  <c r="G169" i="1"/>
  <c r="G170" i="1"/>
  <c r="G171" i="1"/>
  <c r="G172" i="1"/>
  <c r="G173" i="1"/>
  <c r="G174" i="1"/>
  <c r="G165" i="1"/>
  <c r="G166" i="1"/>
  <c r="G167" i="1"/>
  <c r="G2" i="1"/>
  <c r="V24" i="2" l="1"/>
  <c r="G178" i="1"/>
  <c r="AD35" i="2"/>
  <c r="AD24" i="2"/>
  <c r="AB24" i="2"/>
  <c r="Y24" i="2"/>
  <c r="V13" i="2"/>
  <c r="AE13" i="2" s="1"/>
  <c r="AB35" i="2"/>
  <c r="Y35" i="2"/>
  <c r="AE24" i="2" l="1"/>
  <c r="AE35" i="2"/>
</calcChain>
</file>

<file path=xl/sharedStrings.xml><?xml version="1.0" encoding="utf-8"?>
<sst xmlns="http://schemas.openxmlformats.org/spreadsheetml/2006/main" count="739" uniqueCount="420">
  <si>
    <t>大機能</t>
  </si>
  <si>
    <t>中機能</t>
  </si>
  <si>
    <t>小機能</t>
  </si>
  <si>
    <t>機能概要</t>
  </si>
  <si>
    <t>備考</t>
  </si>
  <si>
    <t>共通</t>
  </si>
  <si>
    <t/>
  </si>
  <si>
    <t>UI部品</t>
  </si>
  <si>
    <t>レスポンシブ対応</t>
  </si>
  <si>
    <t>認証</t>
  </si>
  <si>
    <t>ログイン</t>
  </si>
  <si>
    <t>ログインフォーム</t>
  </si>
  <si>
    <t>メールアドレス・パスワード入力フォーム</t>
  </si>
  <si>
    <t>バリデーション</t>
  </si>
  <si>
    <t>入力値のバリデーション処理</t>
  </si>
  <si>
    <t>認証処理</t>
  </si>
  <si>
    <t>ログイン認証・セッション管理</t>
  </si>
  <si>
    <t>パスワード再設定</t>
  </si>
  <si>
    <t>メール送信フォーム</t>
  </si>
  <si>
    <t>パスワード再設定メール送信</t>
  </si>
  <si>
    <t>パスワード変更</t>
  </si>
  <si>
    <t>新パスワード設定処理</t>
  </si>
  <si>
    <t>ダッシュボード</t>
  </si>
  <si>
    <t>メイン画面</t>
  </si>
  <si>
    <t>メニュー表示</t>
  </si>
  <si>
    <t>ログアウト</t>
  </si>
  <si>
    <t>ログアウト処理</t>
  </si>
  <si>
    <t>マスタ管理</t>
  </si>
  <si>
    <t>SHIP施設マスタ</t>
  </si>
  <si>
    <t>一覧表示</t>
  </si>
  <si>
    <t>施設一覧テーブル表示</t>
  </si>
  <si>
    <t>フィルター機能</t>
  </si>
  <si>
    <t>施設コード・施設名・都道府県・市区町村フィルター</t>
  </si>
  <si>
    <t>新規作成モーダル</t>
  </si>
  <si>
    <t>編集モーダル</t>
  </si>
  <si>
    <t>削除機能</t>
  </si>
  <si>
    <t>SHIP資産マスタ</t>
  </si>
  <si>
    <t>資産マスタ一覧テーブル表示</t>
  </si>
  <si>
    <t>Category・大分類・中分類フィルター</t>
  </si>
  <si>
    <t>ユーザー管理</t>
  </si>
  <si>
    <t>ユーザー一覧テーブル表示</t>
  </si>
  <si>
    <t>ユーザー名・メール・所属病院・ロールフィルター</t>
  </si>
  <si>
    <t>個別施設マスタ</t>
  </si>
  <si>
    <t>施設マッピング一覧表示</t>
  </si>
  <si>
    <t>階・部門・室フィルター</t>
  </si>
  <si>
    <t>現状→新居マッピング登録</t>
  </si>
  <si>
    <t>マッピング編集フォーム</t>
  </si>
  <si>
    <t>ステータス管理</t>
  </si>
  <si>
    <t>新規発行タブ</t>
  </si>
  <si>
    <t>再発行タブ</t>
  </si>
  <si>
    <t>番号範囲指定</t>
  </si>
  <si>
    <t>発行番号範囲の指定</t>
  </si>
  <si>
    <t>テンプレート選択</t>
  </si>
  <si>
    <t>QR/バーコードテンプレート選択</t>
  </si>
  <si>
    <t>フッター文字入力</t>
  </si>
  <si>
    <t>ラベルフッター文字設定</t>
  </si>
  <si>
    <t>発行番号計算</t>
  </si>
  <si>
    <t>プレビュー表示</t>
  </si>
  <si>
    <t>印刷プレビュー表示</t>
  </si>
  <si>
    <t>印刷実行</t>
  </si>
  <si>
    <t>印刷処理実行</t>
  </si>
  <si>
    <t>現有品調査</t>
  </si>
  <si>
    <t>調査準備</t>
  </si>
  <si>
    <t>調査日表示</t>
  </si>
  <si>
    <t>施設情報選択</t>
  </si>
  <si>
    <t>Category選択</t>
  </si>
  <si>
    <t>オフライン準備</t>
  </si>
  <si>
    <t>マスタダウンロード</t>
  </si>
  <si>
    <t>ダウンロード状態表示</t>
  </si>
  <si>
    <t>ダウンロード進捗・完了表示</t>
  </si>
  <si>
    <t>データ送信</t>
  </si>
  <si>
    <t>未送信データのサーバー送信</t>
  </si>
  <si>
    <t>接続状態表示</t>
  </si>
  <si>
    <t>オンライン/オフライン状態表示</t>
  </si>
  <si>
    <t>資産詳細入力</t>
  </si>
  <si>
    <t>ラベル番号・室名の固定ヘッダー</t>
  </si>
  <si>
    <t>ラベル番号入力</t>
  </si>
  <si>
    <t>室名入力</t>
  </si>
  <si>
    <t>室名入力フォーム</t>
  </si>
  <si>
    <t>写真撮影</t>
  </si>
  <si>
    <t>カメラ撮影・画像保存</t>
  </si>
  <si>
    <t>資産情報入力フォーム</t>
  </si>
  <si>
    <t>分類選択</t>
  </si>
  <si>
    <t>寸法入力</t>
  </si>
  <si>
    <t>W・D・H寸法入力フォーム</t>
  </si>
  <si>
    <t>リース・貸出品トグル</t>
  </si>
  <si>
    <t>リース・貸出品フラグ切替</t>
  </si>
  <si>
    <t>一括登録モード</t>
  </si>
  <si>
    <t>開始〜終了ラベルNoの一括登録</t>
  </si>
  <si>
    <t>履歴表示</t>
  </si>
  <si>
    <t>調査履歴一覧表示</t>
  </si>
  <si>
    <t>調査内容修正</t>
  </si>
  <si>
    <t>棟・階・部門・部署・担当者等フィルター</t>
  </si>
  <si>
    <t>テーブル表示</t>
  </si>
  <si>
    <t>調査データ一覧テーブル</t>
  </si>
  <si>
    <t>行選択</t>
  </si>
  <si>
    <t>チェックボックスによる行選択</t>
  </si>
  <si>
    <t>インライン編集</t>
  </si>
  <si>
    <t>行データのインライン編集</t>
  </si>
  <si>
    <t>写真表示モーダル</t>
  </si>
  <si>
    <t>写真削除</t>
  </si>
  <si>
    <t>写真削除機能</t>
  </si>
  <si>
    <t>マスタ紐付け状態表示</t>
  </si>
  <si>
    <t>行確定処理</t>
  </si>
  <si>
    <t>個別行の確定処理</t>
  </si>
  <si>
    <t>一括確定処理</t>
  </si>
  <si>
    <t>複数行の一括確定</t>
  </si>
  <si>
    <t>ファイルインポート</t>
  </si>
  <si>
    <t>ファイルタイプ選択</t>
  </si>
  <si>
    <t>ドラッグ&amp;ドロップ</t>
  </si>
  <si>
    <t>ファイルD&amp;Dアップロード</t>
  </si>
  <si>
    <t>ファイルバリデーション</t>
  </si>
  <si>
    <t>ファイル形式・サイズチェック</t>
  </si>
  <si>
    <t>アップロード済み一覧</t>
  </si>
  <si>
    <t>アップロードファイル一覧表示</t>
  </si>
  <si>
    <t>進捗表示</t>
  </si>
  <si>
    <t>突き合わせ進捗表示</t>
  </si>
  <si>
    <t>ファイル削除</t>
  </si>
  <si>
    <t>アップロードファイル削除</t>
  </si>
  <si>
    <t>資産突き合わせ</t>
  </si>
  <si>
    <t>部門・部署・Category等フィルター</t>
  </si>
  <si>
    <t>マッチングデータ一覧表示</t>
  </si>
  <si>
    <t>AI推奨機能</t>
  </si>
  <si>
    <t>フィールド変更時の連動更新</t>
  </si>
  <si>
    <t>確定機能</t>
  </si>
  <si>
    <t>マッチング確定処理</t>
  </si>
  <si>
    <t>調査データマッチング</t>
  </si>
  <si>
    <t>台帳ウィンドウ別開き</t>
  </si>
  <si>
    <t>台帳データの別ウィンドウ表示</t>
  </si>
  <si>
    <t>フィルター同期</t>
  </si>
  <si>
    <t>ウィンドウ間フィルター同期</t>
  </si>
  <si>
    <t>完全一致/部分一致/不一致等表示</t>
  </si>
  <si>
    <t>マッチングデータ編集</t>
  </si>
  <si>
    <t>一括確定</t>
  </si>
  <si>
    <t>複数データ一括確定</t>
  </si>
  <si>
    <t>台帳ウィンドウ</t>
  </si>
  <si>
    <t>フィルター受信</t>
  </si>
  <si>
    <t>親ウィンドウからのフィルター受信</t>
  </si>
  <si>
    <t>台帳データ表示</t>
  </si>
  <si>
    <t>台帳データテーブル表示</t>
  </si>
  <si>
    <t>複数選択</t>
  </si>
  <si>
    <t>チェックボックスによる複数選択</t>
  </si>
  <si>
    <t>選択情報送信</t>
  </si>
  <si>
    <t>親ウィンドウへの選択データ送信</t>
  </si>
  <si>
    <t>見積管理</t>
  </si>
  <si>
    <t>タブ切り替え</t>
  </si>
  <si>
    <t>見積依頼グループ/受領見積タブ</t>
  </si>
  <si>
    <t>見積依頼グループ一覧</t>
  </si>
  <si>
    <t>見積依頼グループCRUD</t>
  </si>
  <si>
    <t>ステータスフィルター</t>
  </si>
  <si>
    <t>見積書登録モーダル</t>
  </si>
  <si>
    <t>見積書登録ウィザード</t>
  </si>
  <si>
    <t>PDF読み込み</t>
  </si>
  <si>
    <t>見積書PDFアップロード</t>
  </si>
  <si>
    <t>OCR処理</t>
  </si>
  <si>
    <t>見積書OCR解析</t>
  </si>
  <si>
    <t>資産マスタ紐付け</t>
  </si>
  <si>
    <t>見積処理</t>
  </si>
  <si>
    <t>OCR抽出ステップ</t>
  </si>
  <si>
    <t>Step1: OCR結果表示</t>
  </si>
  <si>
    <t>マッチング確認ステップ</t>
  </si>
  <si>
    <t>Step2: マッチング結果確認</t>
  </si>
  <si>
    <t>OCR結果編集</t>
  </si>
  <si>
    <t>OCR抽出結果の編集</t>
  </si>
  <si>
    <t>候補表示</t>
  </si>
  <si>
    <t>確定処理</t>
  </si>
  <si>
    <t>マッチング確定</t>
  </si>
  <si>
    <t>申請種別・ステータス・日付等フィルター</t>
  </si>
  <si>
    <t>申請一覧テーブル表示</t>
  </si>
  <si>
    <t>チェックボックス複数選択</t>
  </si>
  <si>
    <t>申請詳細表示</t>
  </si>
  <si>
    <t>申請詳細モーダル表示</t>
  </si>
  <si>
    <t>申請編集</t>
  </si>
  <si>
    <t>申請内容編集</t>
  </si>
  <si>
    <t>申請削除</t>
  </si>
  <si>
    <t>申請削除処理</t>
  </si>
  <si>
    <t>ステータスバッジ</t>
  </si>
  <si>
    <t>ステータス別バッジ表示</t>
  </si>
  <si>
    <t>申請情報入力フォーム</t>
  </si>
  <si>
    <t>申請基本情報入力</t>
  </si>
  <si>
    <t>位置情報選択</t>
  </si>
  <si>
    <t>棟・階・部門・部署・室名選択</t>
  </si>
  <si>
    <t>資産選択</t>
  </si>
  <si>
    <t>申請対象資産選択</t>
  </si>
  <si>
    <t>新規申請モーダル</t>
  </si>
  <si>
    <t>新規申請登録フォーム</t>
  </si>
  <si>
    <t>増設申請モーダル</t>
  </si>
  <si>
    <t>増設申請登録フォーム</t>
  </si>
  <si>
    <t>更新申請モーダル</t>
  </si>
  <si>
    <t>更新申請登録フォーム</t>
  </si>
  <si>
    <t>移動申請モーダル</t>
  </si>
  <si>
    <t>移動申請登録フォーム</t>
  </si>
  <si>
    <t>廃棄申請モーダル</t>
  </si>
  <si>
    <t>廃棄申請登録フォーム</t>
  </si>
  <si>
    <t>保留設定</t>
  </si>
  <si>
    <t>申請保留設定</t>
  </si>
  <si>
    <t>見積依頼グループ登録</t>
  </si>
  <si>
    <t>見積依頼グループ作成</t>
  </si>
  <si>
    <t>見積紐付けモーダル</t>
  </si>
  <si>
    <t>見積と申請の紐付け</t>
  </si>
  <si>
    <t>廃棄執行モーダル</t>
  </si>
  <si>
    <t>移動執行モーダル</t>
  </si>
  <si>
    <t>リモデルクローズ</t>
  </si>
  <si>
    <t>ビュー切替</t>
  </si>
  <si>
    <t>リスト/カード表示切替</t>
  </si>
  <si>
    <t>カラム設定</t>
  </si>
  <si>
    <t>未申請/申請中/執行済み進捗表示</t>
  </si>
  <si>
    <t>リモデル申請一覧</t>
  </si>
  <si>
    <t>棟・階・部門等フィルター</t>
  </si>
  <si>
    <t>申請一覧テーブル</t>
  </si>
  <si>
    <t>別ウィンドウで開く</t>
  </si>
  <si>
    <t>別ウィンドウ表示機能</t>
  </si>
  <si>
    <t>検索結果テーブル表示</t>
  </si>
  <si>
    <t>検索条件フィルター</t>
  </si>
  <si>
    <t>資産詳細</t>
  </si>
  <si>
    <t>QRコード検索</t>
  </si>
  <si>
    <t>資産情報表示</t>
  </si>
  <si>
    <t>資産詳細情報表示</t>
  </si>
  <si>
    <t>写真表示</t>
  </si>
  <si>
    <t>資産写真表示</t>
  </si>
  <si>
    <t>写真スライドショー</t>
  </si>
  <si>
    <t>写真前後ナビゲーション</t>
  </si>
  <si>
    <t>写真アップロード</t>
  </si>
  <si>
    <t>資産写真アップロード</t>
  </si>
  <si>
    <t>資産写真削除</t>
  </si>
  <si>
    <t>編集モード</t>
  </si>
  <si>
    <t>資産情報編集モード</t>
  </si>
  <si>
    <t>読み取り専用モード</t>
  </si>
  <si>
    <t>閲覧のみモード</t>
  </si>
  <si>
    <t>調査履歴</t>
  </si>
  <si>
    <t>履歴カード表示</t>
  </si>
  <si>
    <t>調査履歴カード一覧</t>
  </si>
  <si>
    <t>修正機能</t>
  </si>
  <si>
    <t>調査データ修正遷移</t>
  </si>
  <si>
    <t>再利用機能</t>
  </si>
  <si>
    <t>調査データ再利用</t>
  </si>
  <si>
    <t>【合計】</t>
  </si>
  <si>
    <t>PC/タブレット/モバイル表示切替</t>
    <phoneticPr fontId="2"/>
  </si>
  <si>
    <t>ユーザー権限判定</t>
    <rPh sb="4" eb="6">
      <t xml:space="preserve">ケンゲン </t>
    </rPh>
    <phoneticPr fontId="2"/>
  </si>
  <si>
    <t>新規作成モーダル</t>
    <phoneticPr fontId="2"/>
  </si>
  <si>
    <t>施設新規登録フォーム・登録処理</t>
    <rPh sb="11" eb="15">
      <t xml:space="preserve">トウロクショリ </t>
    </rPh>
    <phoneticPr fontId="2"/>
  </si>
  <si>
    <t>施設情報編集フォーム・編集処理</t>
    <rPh sb="11" eb="15">
      <t xml:space="preserve">ヘンシュウショリ </t>
    </rPh>
    <phoneticPr fontId="2"/>
  </si>
  <si>
    <t>資産マスタ新規登録フォーム・登録処理</t>
    <phoneticPr fontId="2"/>
  </si>
  <si>
    <t>資産マスタ編集フォーム・編集処理</t>
    <phoneticPr fontId="2"/>
  </si>
  <si>
    <t>ユーザー新規登録フォーム・登録処理</t>
    <phoneticPr fontId="2"/>
  </si>
  <si>
    <t>ユーザー編集フォーム・編集処理</t>
    <phoneticPr fontId="2"/>
  </si>
  <si>
    <t>ラベル管理</t>
    <phoneticPr fontId="2"/>
  </si>
  <si>
    <t>ラベル発行</t>
    <phoneticPr fontId="2"/>
  </si>
  <si>
    <t>ラベル番号リスト生成</t>
    <phoneticPr fontId="2"/>
  </si>
  <si>
    <t>ラベル新規発行フォーム</t>
    <phoneticPr fontId="2"/>
  </si>
  <si>
    <t>ラベル再発行フォーム</t>
    <phoneticPr fontId="2"/>
  </si>
  <si>
    <t>資産マスタ選択(別窓)</t>
    <phoneticPr fontId="2"/>
  </si>
  <si>
    <t>削除確認ポップアップ・削除処理</t>
    <phoneticPr fontId="2"/>
  </si>
  <si>
    <t>発行予定番号の自動計算(複数枚発行時)</t>
    <rPh sb="12" eb="15">
      <t xml:space="preserve">フクスウマイ </t>
    </rPh>
    <rPh sb="15" eb="17">
      <t xml:space="preserve">ハッコウ </t>
    </rPh>
    <rPh sb="17" eb="18">
      <t xml:space="preserve">ジ </t>
    </rPh>
    <phoneticPr fontId="2"/>
  </si>
  <si>
    <t>印刷対象ラベル番号リスト生成</t>
    <phoneticPr fontId="2"/>
  </si>
  <si>
    <t>ラベル印刷</t>
    <phoneticPr fontId="2"/>
  </si>
  <si>
    <t>出力プリンター連携・選択</t>
    <rPh sb="7" eb="9">
      <t xml:space="preserve">レンケイ </t>
    </rPh>
    <phoneticPr fontId="2"/>
  </si>
  <si>
    <t>プリンター連携・選択</t>
    <rPh sb="5" eb="7">
      <t xml:space="preserve">レンケイ </t>
    </rPh>
    <phoneticPr fontId="2"/>
  </si>
  <si>
    <t>ラベル読取</t>
    <phoneticPr fontId="2"/>
  </si>
  <si>
    <t>QRコード/バーコードスキャン機能</t>
    <phoneticPr fontId="2"/>
  </si>
  <si>
    <t>資産番号・シリアルNo等入力・画像解析</t>
    <rPh sb="15" eb="19">
      <t xml:space="preserve">ガゾウカイセキ </t>
    </rPh>
    <phoneticPr fontId="2"/>
  </si>
  <si>
    <t>固定ヘッダー</t>
    <rPh sb="0" eb="2">
      <t xml:space="preserve">コテイ </t>
    </rPh>
    <phoneticPr fontId="2"/>
  </si>
  <si>
    <t>マスタデータのデバイス保存</t>
    <phoneticPr fontId="2"/>
  </si>
  <si>
    <t>写真拡大表示(OSのデフォルト画像アプリ)・ドラッグ移動</t>
    <rPh sb="15" eb="17">
      <t xml:space="preserve">ガゾウ </t>
    </rPh>
    <phoneticPr fontId="2"/>
  </si>
  <si>
    <t>当初</t>
    <rPh sb="0" eb="2">
      <t xml:space="preserve">トウショ </t>
    </rPh>
    <phoneticPr fontId="2"/>
  </si>
  <si>
    <t>要件定義</t>
    <rPh sb="0" eb="4">
      <t xml:space="preserve">ヨウケンテイギ </t>
    </rPh>
    <phoneticPr fontId="2"/>
  </si>
  <si>
    <t>設計</t>
    <rPh sb="0" eb="2">
      <t xml:space="preserve">セッケイ </t>
    </rPh>
    <phoneticPr fontId="2"/>
  </si>
  <si>
    <t>開発Ph①</t>
    <rPh sb="0" eb="2">
      <t xml:space="preserve">カイハツ </t>
    </rPh>
    <phoneticPr fontId="2"/>
  </si>
  <si>
    <t>開発Ph②</t>
    <rPh sb="0" eb="1">
      <t xml:space="preserve">カイハツ </t>
    </rPh>
    <phoneticPr fontId="2"/>
  </si>
  <si>
    <t>渡邉</t>
    <rPh sb="0" eb="2">
      <t xml:space="preserve">ワタナベ </t>
    </rPh>
    <phoneticPr fontId="2"/>
  </si>
  <si>
    <t>谷口</t>
    <rPh sb="0" eb="2">
      <t xml:space="preserve">タニグチ </t>
    </rPh>
    <phoneticPr fontId="2"/>
  </si>
  <si>
    <t>金子</t>
    <rPh sb="0" eb="2">
      <t xml:space="preserve">カネコ </t>
    </rPh>
    <phoneticPr fontId="2"/>
  </si>
  <si>
    <t>高岡</t>
    <rPh sb="0" eb="2">
      <t xml:space="preserve">タカオカ </t>
    </rPh>
    <phoneticPr fontId="2"/>
  </si>
  <si>
    <t>開発メンバー</t>
    <rPh sb="0" eb="2">
      <t xml:space="preserve">カイハツ </t>
    </rPh>
    <phoneticPr fontId="2"/>
  </si>
  <si>
    <t>変更①</t>
    <rPh sb="0" eb="2">
      <t xml:space="preserve">ヘンコウ </t>
    </rPh>
    <phoneticPr fontId="2"/>
  </si>
  <si>
    <t>変更②</t>
    <rPh sb="0" eb="2">
      <t xml:space="preserve">ヘンコウ </t>
    </rPh>
    <phoneticPr fontId="2"/>
  </si>
  <si>
    <t>10月</t>
  </si>
  <si>
    <t>10月</t>
    <phoneticPr fontId="2"/>
  </si>
  <si>
    <t>11月</t>
  </si>
  <si>
    <t>11月</t>
    <phoneticPr fontId="2"/>
  </si>
  <si>
    <t>12月</t>
  </si>
  <si>
    <t>1月</t>
    <phoneticPr fontId="2"/>
  </si>
  <si>
    <t>2月</t>
    <phoneticPr fontId="2"/>
  </si>
  <si>
    <t>3月</t>
  </si>
  <si>
    <t>4月</t>
  </si>
  <si>
    <t>5月</t>
  </si>
  <si>
    <t>6月</t>
  </si>
  <si>
    <t>7月</t>
  </si>
  <si>
    <t>8月</t>
  </si>
  <si>
    <t>9 月</t>
  </si>
  <si>
    <t>2025年</t>
    <phoneticPr fontId="2"/>
  </si>
  <si>
    <t>2026年</t>
    <phoneticPr fontId="2"/>
  </si>
  <si>
    <t>コサイン類似度検索・AI候補の表示・適用</t>
    <rPh sb="7" eb="9">
      <t xml:space="preserve">ケンサク </t>
    </rPh>
    <phoneticPr fontId="2"/>
  </si>
  <si>
    <t>固定資産台帳取込</t>
    <rPh sb="0" eb="4">
      <t xml:space="preserve">コテイシサｎ </t>
    </rPh>
    <rPh sb="4" eb="6">
      <t xml:space="preserve">ダイチョウ </t>
    </rPh>
    <rPh sb="6" eb="8">
      <t xml:space="preserve">トリコミ </t>
    </rPh>
    <phoneticPr fontId="2"/>
  </si>
  <si>
    <t>データ突合</t>
    <rPh sb="3" eb="5">
      <t xml:space="preserve">トツゴウ </t>
    </rPh>
    <phoneticPr fontId="2"/>
  </si>
  <si>
    <t>現有品調査修正</t>
    <rPh sb="5" eb="7">
      <t xml:space="preserve">シュウセイ </t>
    </rPh>
    <phoneticPr fontId="2"/>
  </si>
  <si>
    <t>資産一覧</t>
    <rPh sb="0" eb="1">
      <t xml:space="preserve">シサン </t>
    </rPh>
    <rPh sb="2" eb="4">
      <t xml:space="preserve">イチラｎ </t>
    </rPh>
    <phoneticPr fontId="2"/>
  </si>
  <si>
    <t>リモデル申請管理</t>
    <phoneticPr fontId="2"/>
  </si>
  <si>
    <t>リモデル管理</t>
    <rPh sb="4" eb="6">
      <t xml:space="preserve">カンリ </t>
    </rPh>
    <phoneticPr fontId="2"/>
  </si>
  <si>
    <t>資産一覧表示</t>
    <rPh sb="0" eb="2">
      <t xml:space="preserve">シサｎ </t>
    </rPh>
    <rPh sb="2" eb="4">
      <t xml:space="preserve">イチラｎ </t>
    </rPh>
    <rPh sb="4" eb="6">
      <t xml:space="preserve">ヒョウジ </t>
    </rPh>
    <phoneticPr fontId="2"/>
  </si>
  <si>
    <t>通常申請管理</t>
    <rPh sb="0" eb="2">
      <t xml:space="preserve">ツウジョウ </t>
    </rPh>
    <phoneticPr fontId="2"/>
  </si>
  <si>
    <t>通常申請一覧</t>
    <rPh sb="0" eb="2">
      <t xml:space="preserve">ツウジョウ </t>
    </rPh>
    <phoneticPr fontId="2"/>
  </si>
  <si>
    <t>要件定義・設計</t>
    <rPh sb="0" eb="4">
      <t xml:space="preserve">ヨウケンテイギ </t>
    </rPh>
    <rPh sb="5" eb="7">
      <t xml:space="preserve">セッケイ </t>
    </rPh>
    <phoneticPr fontId="2"/>
  </si>
  <si>
    <t>人月</t>
    <rPh sb="0" eb="2">
      <t xml:space="preserve">ニンゲツ </t>
    </rPh>
    <phoneticPr fontId="2"/>
  </si>
  <si>
    <t>円</t>
    <rPh sb="0" eb="1">
      <t xml:space="preserve">エン </t>
    </rPh>
    <phoneticPr fontId="2"/>
  </si>
  <si>
    <t>工数</t>
    <rPh sb="0" eb="2">
      <t xml:space="preserve">コウスウ </t>
    </rPh>
    <phoneticPr fontId="2"/>
  </si>
  <si>
    <t>金額</t>
    <rPh sb="0" eb="2">
      <t xml:space="preserve">キンガク </t>
    </rPh>
    <phoneticPr fontId="2"/>
  </si>
  <si>
    <t>想定フェーズ</t>
    <rPh sb="0" eb="2">
      <t xml:space="preserve">ソウテイフェーズ </t>
    </rPh>
    <phoneticPr fontId="2"/>
  </si>
  <si>
    <t>作業概要</t>
    <rPh sb="0" eb="2">
      <t xml:space="preserve">サギョウ </t>
    </rPh>
    <rPh sb="2" eb="4">
      <t xml:space="preserve">ガイヨウ </t>
    </rPh>
    <phoneticPr fontId="2"/>
  </si>
  <si>
    <t>開発・試験</t>
    <rPh sb="0" eb="2">
      <t xml:space="preserve">カイハツ </t>
    </rPh>
    <rPh sb="3" eb="5">
      <t xml:space="preserve">シケｎ </t>
    </rPh>
    <phoneticPr fontId="2"/>
  </si>
  <si>
    <t>最低限の機能を具備したシステムの開発</t>
    <rPh sb="0" eb="1">
      <t xml:space="preserve">サイテイゲｎ </t>
    </rPh>
    <rPh sb="3" eb="4">
      <t xml:space="preserve">ノキノウヲ </t>
    </rPh>
    <rPh sb="16" eb="18">
      <t xml:space="preserve">カイハツ </t>
    </rPh>
    <phoneticPr fontId="2"/>
  </si>
  <si>
    <t>要件定義~試験</t>
    <rPh sb="0" eb="1">
      <t xml:space="preserve">ヨウケンテイギ </t>
    </rPh>
    <rPh sb="5" eb="7">
      <t xml:space="preserve">シケｎ </t>
    </rPh>
    <phoneticPr fontId="2"/>
  </si>
  <si>
    <t>最低限の機能を具備したシステムの要件定義~設計</t>
    <rPh sb="0" eb="3">
      <t xml:space="preserve">サイテイゲン </t>
    </rPh>
    <rPh sb="4" eb="6">
      <t xml:space="preserve">キノウヲ </t>
    </rPh>
    <rPh sb="7" eb="9">
      <t xml:space="preserve">グビシタ </t>
    </rPh>
    <rPh sb="16" eb="20">
      <t xml:space="preserve">ヨウケンテイギ </t>
    </rPh>
    <rPh sb="21" eb="23">
      <t xml:space="preserve">セッケイ </t>
    </rPh>
    <phoneticPr fontId="2"/>
  </si>
  <si>
    <t>高度な機能・追加機能を具備したシステムの開発</t>
    <rPh sb="0" eb="2">
      <t xml:space="preserve">コウドナキノウ </t>
    </rPh>
    <rPh sb="6" eb="8">
      <t xml:space="preserve">ツイカ </t>
    </rPh>
    <rPh sb="8" eb="10">
      <t xml:space="preserve">キノウヲ </t>
    </rPh>
    <rPh sb="11" eb="13">
      <t xml:space="preserve">グビシタ </t>
    </rPh>
    <rPh sb="20" eb="22">
      <t xml:space="preserve">カイハツ </t>
    </rPh>
    <phoneticPr fontId="2"/>
  </si>
  <si>
    <t>単価</t>
    <rPh sb="0" eb="2">
      <t xml:space="preserve">タンカ </t>
    </rPh>
    <phoneticPr fontId="2"/>
  </si>
  <si>
    <t>一律</t>
    <rPh sb="0" eb="2">
      <t xml:space="preserve">イチリツ </t>
    </rPh>
    <phoneticPr fontId="2"/>
  </si>
  <si>
    <t>人月単価</t>
    <rPh sb="0" eb="2">
      <t xml:space="preserve">ニンゲツ </t>
    </rPh>
    <rPh sb="2" eb="4">
      <t xml:space="preserve">タンカ </t>
    </rPh>
    <phoneticPr fontId="2"/>
  </si>
  <si>
    <t>→</t>
    <phoneticPr fontId="2"/>
  </si>
  <si>
    <t>初期超概算見積</t>
    <rPh sb="0" eb="2">
      <t xml:space="preserve">ショキ </t>
    </rPh>
    <rPh sb="2" eb="3">
      <t xml:space="preserve">チョウ </t>
    </rPh>
    <rPh sb="3" eb="5">
      <t xml:space="preserve">ガイサｎ </t>
    </rPh>
    <rPh sb="5" eb="7">
      <t xml:space="preserve">ミツモリ </t>
    </rPh>
    <phoneticPr fontId="2"/>
  </si>
  <si>
    <t>インフラ設計</t>
    <rPh sb="4" eb="6">
      <t xml:space="preserve">セッケイ </t>
    </rPh>
    <phoneticPr fontId="2"/>
  </si>
  <si>
    <t>インフラ構築</t>
    <rPh sb="0" eb="2">
      <t xml:space="preserve">インフラコウチク </t>
    </rPh>
    <phoneticPr fontId="2"/>
  </si>
  <si>
    <t>構築</t>
    <rPh sb="0" eb="2">
      <t xml:space="preserve">コウチク </t>
    </rPh>
    <phoneticPr fontId="2"/>
  </si>
  <si>
    <t>最低限の機能を具備したインフラの要件定義~設計</t>
    <rPh sb="0" eb="3">
      <t xml:space="preserve">サイテイゲン </t>
    </rPh>
    <rPh sb="4" eb="6">
      <t xml:space="preserve">キノウヲ </t>
    </rPh>
    <rPh sb="7" eb="9">
      <t xml:space="preserve">グビシタ </t>
    </rPh>
    <rPh sb="16" eb="20">
      <t xml:space="preserve">ヨウケンテイギ </t>
    </rPh>
    <rPh sb="21" eb="23">
      <t xml:space="preserve">セッケイ </t>
    </rPh>
    <phoneticPr fontId="2"/>
  </si>
  <si>
    <t>最低限の機能を具備したインフラの開発</t>
    <rPh sb="0" eb="1">
      <t xml:space="preserve">サイテイゲｎ </t>
    </rPh>
    <rPh sb="3" eb="4">
      <t xml:space="preserve">ノキノウヲ </t>
    </rPh>
    <rPh sb="16" eb="18">
      <t xml:space="preserve">カイハツ </t>
    </rPh>
    <phoneticPr fontId="2"/>
  </si>
  <si>
    <t>初期見積</t>
    <rPh sb="0" eb="2">
      <t xml:space="preserve">ショキ </t>
    </rPh>
    <rPh sb="2" eb="4">
      <t xml:space="preserve">ミツモリ </t>
    </rPh>
    <phoneticPr fontId="2"/>
  </si>
  <si>
    <t>金額(人月)</t>
    <rPh sb="0" eb="2">
      <t xml:space="preserve">キンガク </t>
    </rPh>
    <rPh sb="3" eb="5">
      <t xml:space="preserve">ニンゲツ </t>
    </rPh>
    <phoneticPr fontId="2"/>
  </si>
  <si>
    <t>分類</t>
    <rPh sb="0" eb="2">
      <t xml:space="preserve">ブンルイ </t>
    </rPh>
    <phoneticPr fontId="2"/>
  </si>
  <si>
    <t>小計</t>
    <rPh sb="0" eb="2">
      <t xml:space="preserve">ショウケイ </t>
    </rPh>
    <phoneticPr fontId="2"/>
  </si>
  <si>
    <t>合計</t>
    <rPh sb="0" eb="1">
      <t xml:space="preserve">ゴウケイ </t>
    </rPh>
    <rPh sb="1" eb="2">
      <t xml:space="preserve">ショウケイ </t>
    </rPh>
    <phoneticPr fontId="2"/>
  </si>
  <si>
    <t>工程</t>
    <rPh sb="0" eb="2">
      <t xml:space="preserve">コウテイ </t>
    </rPh>
    <phoneticPr fontId="2"/>
  </si>
  <si>
    <t>開発/UT</t>
    <rPh sb="0" eb="2">
      <t xml:space="preserve">カイハツ </t>
    </rPh>
    <phoneticPr fontId="2"/>
  </si>
  <si>
    <t>総合テスト</t>
    <rPh sb="0" eb="2">
      <t xml:space="preserve">ソウゴウテスト </t>
    </rPh>
    <phoneticPr fontId="2"/>
  </si>
  <si>
    <t>工数(人月)</t>
    <rPh sb="0" eb="2">
      <t xml:space="preserve">コウスウ </t>
    </rPh>
    <rPh sb="3" eb="5">
      <t xml:space="preserve">ニンゲツ </t>
    </rPh>
    <phoneticPr fontId="2"/>
  </si>
  <si>
    <t>仕様書作成</t>
    <rPh sb="0" eb="3">
      <t xml:space="preserve">シヨウショ </t>
    </rPh>
    <rPh sb="3" eb="5">
      <t xml:space="preserve">サクセイ </t>
    </rPh>
    <phoneticPr fontId="2"/>
  </si>
  <si>
    <t>打鍵</t>
    <rPh sb="0" eb="2">
      <t xml:space="preserve">ダケｎ </t>
    </rPh>
    <phoneticPr fontId="2"/>
  </si>
  <si>
    <t>マネジメント</t>
    <phoneticPr fontId="2"/>
  </si>
  <si>
    <t>進捗管理</t>
    <rPh sb="0" eb="4">
      <t xml:space="preserve">シンチョクカンリ </t>
    </rPh>
    <phoneticPr fontId="2"/>
  </si>
  <si>
    <t>会議</t>
    <rPh sb="0" eb="2">
      <t xml:space="preserve">カイギ </t>
    </rPh>
    <phoneticPr fontId="2"/>
  </si>
  <si>
    <t>作業</t>
    <rPh sb="0" eb="2">
      <t xml:space="preserve">サギョウ </t>
    </rPh>
    <phoneticPr fontId="2"/>
  </si>
  <si>
    <t xml:space="preserve"> ← (開発/UT)*0.2</t>
    <rPh sb="4" eb="6">
      <t xml:space="preserve">カイハツ </t>
    </rPh>
    <phoneticPr fontId="2"/>
  </si>
  <si>
    <t>開発・単テ(時間)</t>
    <rPh sb="0" eb="2">
      <t xml:space="preserve">カイハツ </t>
    </rPh>
    <rPh sb="3" eb="4">
      <t xml:space="preserve">タンタイ </t>
    </rPh>
    <rPh sb="6" eb="8">
      <t xml:space="preserve">ジカｎ </t>
    </rPh>
    <phoneticPr fontId="2"/>
  </si>
  <si>
    <t>総合テスト(時間)</t>
    <rPh sb="0" eb="2">
      <t xml:space="preserve">ソウゴウ </t>
    </rPh>
    <rPh sb="6" eb="8">
      <t xml:space="preserve">ジカｎ </t>
    </rPh>
    <phoneticPr fontId="2"/>
  </si>
  <si>
    <t>合計工数(時間)</t>
    <rPh sb="5" eb="7">
      <t xml:space="preserve">ジカｎ </t>
    </rPh>
    <phoneticPr fontId="2"/>
  </si>
  <si>
    <t>工数(時間)</t>
    <rPh sb="0" eb="2">
      <t xml:space="preserve">コウスウ </t>
    </rPh>
    <rPh sb="3" eb="5">
      <t xml:space="preserve">ジカｎ </t>
    </rPh>
    <phoneticPr fontId="2"/>
  </si>
  <si>
    <t>合計</t>
    <rPh sb="0" eb="2">
      <t xml:space="preserve">ゴウケイ </t>
    </rPh>
    <phoneticPr fontId="2"/>
  </si>
  <si>
    <t>開発Ph1</t>
    <rPh sb="0" eb="2">
      <t xml:space="preserve">カイハツ </t>
    </rPh>
    <phoneticPr fontId="2"/>
  </si>
  <si>
    <t>開発Ph2</t>
    <rPh sb="0" eb="1">
      <t xml:space="preserve">カイハツ </t>
    </rPh>
    <phoneticPr fontId="2"/>
  </si>
  <si>
    <t>契約①</t>
    <rPh sb="0" eb="2">
      <t xml:space="preserve">ケイヤク </t>
    </rPh>
    <phoneticPr fontId="2"/>
  </si>
  <si>
    <t>契約①</t>
    <phoneticPr fontId="2"/>
  </si>
  <si>
    <t>契約②</t>
    <phoneticPr fontId="2"/>
  </si>
  <si>
    <t>契約③</t>
    <phoneticPr fontId="2"/>
  </si>
  <si>
    <t>開発Ph2 要件定義</t>
    <rPh sb="0" eb="1">
      <t xml:space="preserve">カイハツ </t>
    </rPh>
    <rPh sb="6" eb="10">
      <t xml:space="preserve">ヨウケンテイギ </t>
    </rPh>
    <phoneticPr fontId="2"/>
  </si>
  <si>
    <t>資料作成</t>
    <rPh sb="0" eb="4">
      <t xml:space="preserve">シリョウサクセイ </t>
    </rPh>
    <phoneticPr fontId="2"/>
  </si>
  <si>
    <t>山積み(時間)</t>
    <rPh sb="0" eb="2">
      <t xml:space="preserve">ヤマヅミ </t>
    </rPh>
    <rPh sb="4" eb="6">
      <t xml:space="preserve">ジカｎ </t>
    </rPh>
    <phoneticPr fontId="2"/>
  </si>
  <si>
    <t>単価設定</t>
    <rPh sb="0" eb="4">
      <t xml:space="preserve">タンカセッテイ </t>
    </rPh>
    <phoneticPr fontId="2"/>
  </si>
  <si>
    <t>時間/人月変換</t>
    <rPh sb="0" eb="2">
      <t xml:space="preserve">ジカン </t>
    </rPh>
    <rPh sb="3" eb="5">
      <t xml:space="preserve">ニンゲツ </t>
    </rPh>
    <rPh sb="5" eb="7">
      <t xml:space="preserve">ヘンカｎ </t>
    </rPh>
    <phoneticPr fontId="2"/>
  </si>
  <si>
    <t>工数計</t>
    <rPh sb="0" eb="3">
      <t xml:space="preserve">コウスウケイ </t>
    </rPh>
    <phoneticPr fontId="2"/>
  </si>
  <si>
    <t>金額計</t>
    <rPh sb="0" eb="3">
      <t xml:space="preserve">キンガクケイ </t>
    </rPh>
    <phoneticPr fontId="2"/>
  </si>
  <si>
    <t>ラベル読取</t>
    <rPh sb="3" eb="5">
      <t xml:space="preserve">ヨミトリ </t>
    </rPh>
    <phoneticPr fontId="2"/>
  </si>
  <si>
    <t>ラベル読込でカルテ画面へ遷移</t>
    <rPh sb="3" eb="5">
      <t xml:space="preserve">ヨミコミ </t>
    </rPh>
    <phoneticPr fontId="2"/>
  </si>
  <si>
    <t>リモデル施設選択</t>
    <rPh sb="4" eb="8">
      <t xml:space="preserve">シセツセンタク </t>
    </rPh>
    <phoneticPr fontId="2"/>
  </si>
  <si>
    <t>個体管理リスト施設選択</t>
    <rPh sb="0" eb="1">
      <t xml:space="preserve">コタイカンリ </t>
    </rPh>
    <rPh sb="7" eb="11">
      <t xml:space="preserve">シセツセンタク </t>
    </rPh>
    <phoneticPr fontId="2"/>
  </si>
  <si>
    <t>SHIP施設マスタからのプルダン選択・曖昧検索</t>
    <phoneticPr fontId="2"/>
  </si>
  <si>
    <t>ユーザーの権限判定(権限で表示内容制御）</t>
    <rPh sb="10" eb="12">
      <t xml:space="preserve">ケンゲンデ </t>
    </rPh>
    <rPh sb="13" eb="17">
      <t xml:space="preserve">ヒョウジナイヨウ </t>
    </rPh>
    <rPh sb="17" eb="19">
      <t xml:space="preserve">セイギョ </t>
    </rPh>
    <phoneticPr fontId="2"/>
  </si>
  <si>
    <t>メニューボタン一覧表示・選択画面へ遷移</t>
    <rPh sb="12" eb="14">
      <t xml:space="preserve">センタクメニュー </t>
    </rPh>
    <rPh sb="14" eb="16">
      <t xml:space="preserve">ガメｎ </t>
    </rPh>
    <rPh sb="17" eb="19">
      <t xml:space="preserve">センイ </t>
    </rPh>
    <phoneticPr fontId="2"/>
  </si>
  <si>
    <t>個別施設マスタ施設選択</t>
    <rPh sb="0" eb="4">
      <t xml:space="preserve">コベツシセツマスタ </t>
    </rPh>
    <rPh sb="7" eb="11">
      <t xml:space="preserve">シセツセンタク </t>
    </rPh>
    <phoneticPr fontId="2"/>
  </si>
  <si>
    <t>調査実施日(本日)の表示</t>
    <rPh sb="6" eb="8">
      <t xml:space="preserve">ホンジツ </t>
    </rPh>
    <phoneticPr fontId="2"/>
  </si>
  <si>
    <t>ラベル番号入力フォーム・初期入力後の連番自動表示</t>
    <rPh sb="12" eb="17">
      <t xml:space="preserve">ショキニュウリョクゴ </t>
    </rPh>
    <rPh sb="18" eb="20">
      <t xml:space="preserve">レンバｎ </t>
    </rPh>
    <rPh sb="20" eb="24">
      <t xml:space="preserve">ジドウヒョウジ </t>
    </rPh>
    <phoneticPr fontId="2"/>
  </si>
  <si>
    <t>商品登録</t>
    <rPh sb="0" eb="4">
      <t xml:space="preserve">ショウヒントウロク </t>
    </rPh>
    <phoneticPr fontId="2"/>
  </si>
  <si>
    <t>現有品調査リスト(修正前)へ登録</t>
    <rPh sb="0" eb="1">
      <t xml:space="preserve">ゲンユウヒンチョウサリスト </t>
    </rPh>
    <rPh sb="9" eb="12">
      <t xml:space="preserve">シュウセイマエ </t>
    </rPh>
    <rPh sb="14" eb="16">
      <t xml:space="preserve">トウロク </t>
    </rPh>
    <phoneticPr fontId="2"/>
  </si>
  <si>
    <t>別ウィンドウでの資産マスタ選択</t>
    <phoneticPr fontId="2"/>
  </si>
  <si>
    <t>紐付け状態の色分け表示(フリー入力の場合の強調表示)</t>
    <rPh sb="21" eb="23">
      <t xml:space="preserve">キョウチョウ </t>
    </rPh>
    <rPh sb="23" eb="25">
      <t xml:space="preserve">キョウチョウヒョウジ </t>
    </rPh>
    <phoneticPr fontId="2"/>
  </si>
  <si>
    <t>固定資産/その他台帳選択</t>
    <phoneticPr fontId="2"/>
  </si>
  <si>
    <t>親子関係自動更新</t>
    <phoneticPr fontId="2"/>
  </si>
  <si>
    <t>棟・階・部門・部署のドロップダウン選択(SHIP施設マスタ)・曖昧検索・フリー入力・親子関係自動更新</t>
    <rPh sb="24" eb="26">
      <t xml:space="preserve">シセツマスタ </t>
    </rPh>
    <rPh sb="31" eb="35">
      <t xml:space="preserve">アイマイケンサク </t>
    </rPh>
    <phoneticPr fontId="2"/>
  </si>
  <si>
    <t>調査対象のドロップダウンカテゴリー選択(SHIP資産マスタ)・曖昧検索・フリー入力・親子関係自動更新</t>
    <phoneticPr fontId="2"/>
  </si>
  <si>
    <t>大分類・中分類・品目・メーカー・型式選択(SHIP資産マスタ)・曖昧検索・フリー入力・親子関係自動更新</t>
    <phoneticPr fontId="2"/>
  </si>
  <si>
    <t>複合条件フィルター</t>
    <phoneticPr fontId="2"/>
  </si>
  <si>
    <t>リモデル完了処理・個別施設マスタの新居設置情報を現状設置情報に更新</t>
    <rPh sb="9" eb="13">
      <t xml:space="preserve">コベツシセツマスタ </t>
    </rPh>
    <rPh sb="17" eb="19">
      <t xml:space="preserve">シンキョ </t>
    </rPh>
    <rPh sb="19" eb="23">
      <t xml:space="preserve">セッチジョウホウヲ </t>
    </rPh>
    <rPh sb="24" eb="26">
      <t xml:space="preserve">ゲンジョウ </t>
    </rPh>
    <rPh sb="26" eb="30">
      <t xml:space="preserve">セッチジョウホウニ </t>
    </rPh>
    <rPh sb="31" eb="33">
      <t xml:space="preserve">コウシン </t>
    </rPh>
    <phoneticPr fontId="2"/>
  </si>
  <si>
    <t>新規・更新・増設執行モーダル</t>
    <rPh sb="0" eb="2">
      <t xml:space="preserve">シンキ </t>
    </rPh>
    <rPh sb="3" eb="5">
      <t xml:space="preserve">コウシｎ </t>
    </rPh>
    <rPh sb="6" eb="8">
      <t xml:space="preserve">ゾウセツ </t>
    </rPh>
    <rPh sb="8" eb="10">
      <t xml:space="preserve">シッコウ </t>
    </rPh>
    <phoneticPr fontId="2"/>
  </si>
  <si>
    <t>原本ドキュメント登録・原本リストのレコード更新</t>
    <rPh sb="21" eb="23">
      <t xml:space="preserve">コウシン </t>
    </rPh>
    <phoneticPr fontId="2"/>
  </si>
  <si>
    <t>複数選択</t>
    <phoneticPr fontId="2"/>
  </si>
  <si>
    <t>一括編集</t>
    <rPh sb="0" eb="2">
      <t xml:space="preserve">イッカツ </t>
    </rPh>
    <rPh sb="2" eb="4">
      <t xml:space="preserve">ヘンシュウ </t>
    </rPh>
    <phoneticPr fontId="2"/>
  </si>
  <si>
    <t>複数選択でセルをクリックすると一括編集モーダル表示・一括更新</t>
    <rPh sb="0" eb="4">
      <t xml:space="preserve">フクスウセンタク </t>
    </rPh>
    <rPh sb="15" eb="19">
      <t xml:space="preserve">イッカツヘンシュウ </t>
    </rPh>
    <rPh sb="23" eb="25">
      <t xml:space="preserve">ヒョウジ </t>
    </rPh>
    <rPh sb="26" eb="28">
      <t xml:space="preserve">イッカツ </t>
    </rPh>
    <rPh sb="28" eb="30">
      <t xml:space="preserve">コウシｎ </t>
    </rPh>
    <phoneticPr fontId="2"/>
  </si>
  <si>
    <t>見積管理</t>
    <rPh sb="2" eb="4">
      <t xml:space="preserve">カンリ </t>
    </rPh>
    <phoneticPr fontId="2"/>
  </si>
  <si>
    <t>未送信/送信済み/回答受領</t>
    <rPh sb="0" eb="3">
      <t xml:space="preserve">ミソウシｎ </t>
    </rPh>
    <rPh sb="4" eb="6">
      <t xml:space="preserve">ソウシｎ </t>
    </rPh>
    <rPh sb="6" eb="7">
      <t xml:space="preserve">ズミ </t>
    </rPh>
    <rPh sb="9" eb="11">
      <t xml:space="preserve">カイトウ </t>
    </rPh>
    <rPh sb="11" eb="13">
      <t xml:space="preserve">ジュリョウ </t>
    </rPh>
    <phoneticPr fontId="2"/>
  </si>
  <si>
    <t>見積明細一覧表示</t>
    <rPh sb="2" eb="4">
      <t xml:space="preserve">メイサイ </t>
    </rPh>
    <phoneticPr fontId="2"/>
  </si>
  <si>
    <t>見積明細一覧</t>
    <rPh sb="2" eb="4">
      <t xml:space="preserve">メイサイ </t>
    </rPh>
    <phoneticPr fontId="2"/>
  </si>
  <si>
    <t>OCR結果と資産マスタ紐付け(AI推奨/資産マスタを別ウィンドウで開いて選択)</t>
    <rPh sb="17" eb="19">
      <t xml:space="preserve">スイショウ </t>
    </rPh>
    <rPh sb="20" eb="22">
      <t xml:space="preserve">シサンマスタヲ </t>
    </rPh>
    <rPh sb="26" eb="27">
      <t xml:space="preserve">ベツウィンドウデ </t>
    </rPh>
    <rPh sb="33" eb="34">
      <t xml:space="preserve">ヒライテ </t>
    </rPh>
    <rPh sb="36" eb="38">
      <t xml:space="preserve">センタク </t>
    </rPh>
    <phoneticPr fontId="2"/>
  </si>
  <si>
    <t>マッチング候補表示</t>
    <phoneticPr fontId="2"/>
  </si>
  <si>
    <t>申請作成</t>
    <rPh sb="0" eb="4">
      <t xml:space="preserve">シンセイサクセイ </t>
    </rPh>
    <phoneticPr fontId="2"/>
  </si>
  <si>
    <t>申請にない資産の明細の申請作成機能</t>
    <rPh sb="0" eb="2">
      <t xml:space="preserve">シンセイニナイ </t>
    </rPh>
    <rPh sb="5" eb="7">
      <t xml:space="preserve">シサンノメイサイ </t>
    </rPh>
    <rPh sb="11" eb="15">
      <t xml:space="preserve">シンセイサクセイ </t>
    </rPh>
    <rPh sb="15" eb="17">
      <t xml:space="preserve">キノウ </t>
    </rPh>
    <phoneticPr fontId="2"/>
  </si>
  <si>
    <t>新規申請登録フォーム(リモデル踏襲)</t>
    <phoneticPr fontId="2"/>
  </si>
  <si>
    <t>増設申請登録フォーム(リモデル踏襲)</t>
    <phoneticPr fontId="2"/>
  </si>
  <si>
    <t>更新申請登録フォーム(リモデル踏襲)</t>
    <phoneticPr fontId="2"/>
  </si>
  <si>
    <t>移動申請登録フォーム(リモデル踏襲)</t>
    <phoneticPr fontId="2"/>
  </si>
  <si>
    <t>廃棄申請登録フォーム(リモデル踏襲)</t>
    <phoneticPr fontId="2"/>
  </si>
  <si>
    <t>QRコードによる資産検索(カルテ画面へ遷移)</t>
    <phoneticPr fontId="2"/>
  </si>
  <si>
    <t>原本ドキュメント登録・原本リストのレコード更新(リモデル踏襲)</t>
    <rPh sb="21" eb="23">
      <t xml:space="preserve">コウシン </t>
    </rPh>
    <phoneticPr fontId="2"/>
  </si>
  <si>
    <t>ドキュメントアップロード</t>
    <phoneticPr fontId="2"/>
  </si>
  <si>
    <t>PDFアップロード機能</t>
    <rPh sb="9" eb="11">
      <t xml:space="preserve">キノウ </t>
    </rPh>
    <phoneticPr fontId="2"/>
  </si>
  <si>
    <t>ドキュメントマスタ</t>
    <phoneticPr fontId="2"/>
  </si>
  <si>
    <t>保守・点検</t>
    <rPh sb="0" eb="1">
      <t xml:space="preserve">ホシュ </t>
    </rPh>
    <rPh sb="3" eb="5">
      <t xml:space="preserve">テンケン </t>
    </rPh>
    <phoneticPr fontId="2"/>
  </si>
  <si>
    <t>貸出管理</t>
    <rPh sb="0" eb="4">
      <t xml:space="preserve">カシダシカンリ </t>
    </rPh>
    <phoneticPr fontId="2"/>
  </si>
  <si>
    <t>修理申請</t>
    <rPh sb="0" eb="2">
      <t xml:space="preserve">シュウリ </t>
    </rPh>
    <rPh sb="2" eb="4">
      <t xml:space="preserve">シンセイ </t>
    </rPh>
    <phoneticPr fontId="2"/>
  </si>
  <si>
    <t>(仕様がわからないので新規申請~執行の工数を積んでおく)</t>
    <rPh sb="1" eb="3">
      <t xml:space="preserve">シヨウガワカラナイ </t>
    </rPh>
    <rPh sb="11" eb="13">
      <t xml:space="preserve">シンキ </t>
    </rPh>
    <rPh sb="13" eb="15">
      <t xml:space="preserve">シンセイ </t>
    </rPh>
    <rPh sb="16" eb="18">
      <t xml:space="preserve">シッコウ </t>
    </rPh>
    <rPh sb="19" eb="21">
      <t xml:space="preserve">コウスウヲ </t>
    </rPh>
    <rPh sb="22" eb="23">
      <t xml:space="preserve">ツンデオク </t>
    </rPh>
    <phoneticPr fontId="2"/>
  </si>
  <si>
    <t>棚卸し機能</t>
    <rPh sb="0" eb="2">
      <t xml:space="preserve">タナオロシキノウ </t>
    </rPh>
    <phoneticPr fontId="2"/>
  </si>
  <si>
    <t>棚卸しモード切り替え</t>
    <rPh sb="0" eb="2">
      <t xml:space="preserve">タナオロシ </t>
    </rPh>
    <rPh sb="6" eb="7">
      <t xml:space="preserve">キリカエ </t>
    </rPh>
    <phoneticPr fontId="2"/>
  </si>
  <si>
    <t>資産確定機能</t>
    <rPh sb="0" eb="2">
      <t xml:space="preserve">シサン </t>
    </rPh>
    <rPh sb="2" eb="4">
      <t xml:space="preserve">カクテイ </t>
    </rPh>
    <rPh sb="4" eb="6">
      <t xml:space="preserve">キノウ </t>
    </rPh>
    <phoneticPr fontId="2"/>
  </si>
  <si>
    <t>廃棄・移動申請へ切り替え</t>
    <rPh sb="0" eb="7">
      <t xml:space="preserve">ハイキシンセイ </t>
    </rPh>
    <rPh sb="8" eb="9">
      <t xml:space="preserve">キリカエ </t>
    </rPh>
    <phoneticPr fontId="2"/>
  </si>
  <si>
    <t>テンプレート出力</t>
    <rPh sb="0" eb="2">
      <t xml:space="preserve">テンプレートシュツリョク </t>
    </rPh>
    <phoneticPr fontId="2"/>
  </si>
  <si>
    <t>テンプレート出力：「見積依頼リスト」</t>
    <phoneticPr fontId="2"/>
  </si>
  <si>
    <t>原本ドキュメント登録・テンプレート出力：「資産除却届」「検収書」・原本リストのレコード削除(リモデル踏襲)</t>
    <rPh sb="22" eb="24">
      <t xml:space="preserve">サクジョ </t>
    </rPh>
    <phoneticPr fontId="2"/>
  </si>
  <si>
    <t>原本ドキュメント登録・テンプレート出力：「検収書」・原本リストにレコード追加(リモデル踏襲)</t>
    <rPh sb="12" eb="14">
      <t xml:space="preserve">ゲンポン </t>
    </rPh>
    <phoneticPr fontId="2"/>
  </si>
  <si>
    <t>原本ドキュメント登録・テンプレート出力：「検収書」・原本リストにレコード追加</t>
    <rPh sb="12" eb="14">
      <t xml:space="preserve">ゲンポン </t>
    </rPh>
    <phoneticPr fontId="2"/>
  </si>
  <si>
    <t>原本ドキュメント登録・テンプレート出力：「資産除却届」「検収書」・原本リストのレコード削除</t>
    <rPh sb="22" eb="24">
      <t xml:space="preserve">サクジョ </t>
    </rPh>
    <phoneticPr fontId="2"/>
  </si>
  <si>
    <t>カード形式で選択・確定処理()</t>
    <rPh sb="3" eb="5">
      <t xml:space="preserve">ケイシキ </t>
    </rPh>
    <rPh sb="6" eb="8">
      <t xml:space="preserve">センタク </t>
    </rPh>
    <rPh sb="9" eb="13">
      <t xml:space="preserve">カクテイショリ </t>
    </rPh>
    <phoneticPr fontId="2"/>
  </si>
  <si>
    <t>一覧にない、もしくは設置場所が変わっている資産に対し廃棄・移動申請へ遷移</t>
    <rPh sb="0" eb="2">
      <t xml:space="preserve">イチラン </t>
    </rPh>
    <rPh sb="10" eb="14">
      <t xml:space="preserve">セッチバショガカワッテイル </t>
    </rPh>
    <rPh sb="21" eb="23">
      <t xml:space="preserve">シサンニタイシ </t>
    </rPh>
    <rPh sb="26" eb="28">
      <t xml:space="preserve">ハイキ </t>
    </rPh>
    <rPh sb="29" eb="33">
      <t xml:space="preserve">イドウシンセイ </t>
    </rPh>
    <rPh sb="34" eb="36">
      <t xml:space="preserve">センイ </t>
    </rPh>
    <phoneticPr fontId="2"/>
  </si>
  <si>
    <t>表示カラム設定/ブックマーク機能(作成・削除)</t>
    <rPh sb="14" eb="16">
      <t xml:space="preserve">キノウ </t>
    </rPh>
    <rPh sb="17" eb="19">
      <t xml:space="preserve">サクセイ </t>
    </rPh>
    <rPh sb="20" eb="22">
      <t xml:space="preserve">サクジョ </t>
    </rPh>
    <phoneticPr fontId="2"/>
  </si>
  <si>
    <t>原本リストを棚卸しモードに切り替え・進捗状況表示・確定ステータスフィルター(未・済）</t>
    <rPh sb="0" eb="2">
      <t xml:space="preserve">ゲンポンリストヲ </t>
    </rPh>
    <rPh sb="6" eb="8">
      <t xml:space="preserve">タナオロシモーヂニ </t>
    </rPh>
    <rPh sb="13" eb="14">
      <t xml:space="preserve">キリカエ </t>
    </rPh>
    <rPh sb="18" eb="20">
      <t xml:space="preserve">シンチョク </t>
    </rPh>
    <rPh sb="20" eb="22">
      <t xml:space="preserve">ジョウキョウ </t>
    </rPh>
    <rPh sb="22" eb="24">
      <t xml:space="preserve">ヒョウジ </t>
    </rPh>
    <rPh sb="25" eb="27">
      <t xml:space="preserve">カクテイ </t>
    </rPh>
    <rPh sb="38" eb="39">
      <t xml:space="preserve">ミ </t>
    </rPh>
    <rPh sb="40" eb="41">
      <t xml:space="preserve">スミ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</si>
</sst>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#,##0.0;[Red]\-#,##0.0"/>
  </numFmts>
  <fonts count="5">
    <font>
      <sz val="12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 applyAlignment="1">
      <alignment horizontal="center"/>
    </xf>
    <xf numFmtId="38" fontId="3" fillId="0" borderId="1" xfId="1" applyFont="1" applyBorder="1" applyAlignme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0" xfId="0" applyFont="1"/>
    <xf numFmtId="38" fontId="3" fillId="0" borderId="0" xfId="1" applyFont="1" applyAlignment="1"/>
    <xf numFmtId="38" fontId="3" fillId="0" borderId="1" xfId="0" applyNumberFormat="1" applyFont="1" applyBorder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8" fontId="3" fillId="0" borderId="0" xfId="0" applyNumberFormat="1" applyFont="1"/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38" fontId="3" fillId="3" borderId="1" xfId="1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38" fontId="3" fillId="3" borderId="2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38" fontId="4" fillId="5" borderId="11" xfId="0" applyNumberFormat="1" applyFont="1" applyFill="1" applyBorder="1"/>
    <xf numFmtId="0" fontId="4" fillId="5" borderId="12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38" fontId="3" fillId="0" borderId="1" xfId="1" applyFont="1" applyBorder="1" applyAlignment="1">
      <alignment horizontal="right"/>
    </xf>
    <xf numFmtId="38" fontId="3" fillId="3" borderId="1" xfId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6" borderId="2" xfId="0" applyFont="1" applyFill="1" applyBorder="1" applyAlignment="1">
      <alignment horizontal="center"/>
    </xf>
    <xf numFmtId="0" fontId="3" fillId="0" borderId="4" xfId="0" applyFont="1" applyBorder="1"/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3" xfId="0" applyFont="1" applyBorder="1"/>
    <xf numFmtId="0" fontId="3" fillId="4" borderId="23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0" borderId="5" xfId="0" applyFont="1" applyBorder="1"/>
    <xf numFmtId="0" fontId="3" fillId="4" borderId="25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38" fontId="3" fillId="0" borderId="0" xfId="1" applyFont="1" applyBorder="1" applyAlignment="1"/>
    <xf numFmtId="0" fontId="3" fillId="0" borderId="0" xfId="0" applyFont="1" applyFill="1"/>
    <xf numFmtId="0" fontId="3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83" fontId="3" fillId="0" borderId="1" xfId="1" applyNumberFormat="1" applyFont="1" applyBorder="1" applyAlignment="1">
      <alignment horizontal="right"/>
    </xf>
    <xf numFmtId="38" fontId="3" fillId="0" borderId="0" xfId="1" applyFont="1" applyFill="1" applyBorder="1" applyAlignment="1">
      <alignment horizontal="right"/>
    </xf>
    <xf numFmtId="183" fontId="4" fillId="3" borderId="1" xfId="1" applyNumberFormat="1" applyFont="1" applyFill="1" applyBorder="1" applyAlignment="1">
      <alignment horizontal="right"/>
    </xf>
    <xf numFmtId="38" fontId="4" fillId="3" borderId="1" xfId="1" applyFont="1" applyFill="1" applyBorder="1" applyAlignment="1">
      <alignment horizontal="right"/>
    </xf>
    <xf numFmtId="38" fontId="4" fillId="3" borderId="5" xfId="1" applyFont="1" applyFill="1" applyBorder="1" applyAlignment="1"/>
    <xf numFmtId="38" fontId="4" fillId="3" borderId="8" xfId="0" applyNumberFormat="1" applyFont="1" applyFill="1" applyBorder="1"/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tabSelected="1" zoomScale="110" zoomScaleNormal="110" workbookViewId="0">
      <pane ySplit="1" topLeftCell="A2" activePane="bottomLeft" state="frozen"/>
      <selection pane="bottomLeft" activeCell="D166" sqref="D166"/>
    </sheetView>
  </sheetViews>
  <sheetFormatPr baseColWidth="10" defaultRowHeight="15"/>
  <cols>
    <col min="1" max="1" width="18.6640625" bestFit="1" customWidth="1"/>
    <col min="2" max="2" width="18.5" bestFit="1" customWidth="1"/>
    <col min="3" max="3" width="25.83203125" customWidth="1"/>
    <col min="4" max="4" width="90.83203125" bestFit="1" customWidth="1"/>
    <col min="5" max="7" width="14.83203125" customWidth="1"/>
    <col min="8" max="8" width="30.83203125" customWidth="1"/>
  </cols>
  <sheetData>
    <row r="1" spans="1:8" ht="32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340</v>
      </c>
      <c r="F1" s="7" t="s">
        <v>341</v>
      </c>
      <c r="G1" s="7" t="s">
        <v>342</v>
      </c>
      <c r="H1" s="7" t="s">
        <v>4</v>
      </c>
    </row>
    <row r="2" spans="1:8" ht="18">
      <c r="A2" s="2" t="s">
        <v>5</v>
      </c>
      <c r="B2" s="2" t="s">
        <v>7</v>
      </c>
      <c r="C2" s="2" t="s">
        <v>8</v>
      </c>
      <c r="D2" s="2" t="s">
        <v>237</v>
      </c>
      <c r="E2" s="2"/>
      <c r="F2" s="2"/>
      <c r="G2" s="2">
        <f>SUM(E2:F2)</f>
        <v>0</v>
      </c>
      <c r="H2" s="2" t="s">
        <v>6</v>
      </c>
    </row>
    <row r="3" spans="1:8" ht="18">
      <c r="A3" s="4" t="s">
        <v>9</v>
      </c>
      <c r="B3" s="2" t="s">
        <v>10</v>
      </c>
      <c r="C3" s="2" t="s">
        <v>11</v>
      </c>
      <c r="D3" s="2" t="s">
        <v>12</v>
      </c>
      <c r="E3" s="2"/>
      <c r="F3" s="2"/>
      <c r="G3" s="2">
        <f>SUM(E3:F3)</f>
        <v>0</v>
      </c>
      <c r="H3" s="2" t="s">
        <v>6</v>
      </c>
    </row>
    <row r="4" spans="1:8" ht="18">
      <c r="A4" s="5"/>
      <c r="B4" s="2" t="s">
        <v>10</v>
      </c>
      <c r="C4" s="2" t="s">
        <v>13</v>
      </c>
      <c r="D4" s="2" t="s">
        <v>14</v>
      </c>
      <c r="E4" s="2"/>
      <c r="F4" s="2"/>
      <c r="G4" s="2">
        <f t="shared" ref="G4:G71" si="0">SUM(E4:F4)</f>
        <v>0</v>
      </c>
      <c r="H4" s="2" t="s">
        <v>6</v>
      </c>
    </row>
    <row r="5" spans="1:8" ht="18">
      <c r="A5" s="5"/>
      <c r="B5" s="2" t="s">
        <v>10</v>
      </c>
      <c r="C5" s="2" t="s">
        <v>15</v>
      </c>
      <c r="D5" s="2" t="s">
        <v>16</v>
      </c>
      <c r="E5" s="2"/>
      <c r="F5" s="2"/>
      <c r="G5" s="2">
        <f t="shared" si="0"/>
        <v>0</v>
      </c>
      <c r="H5" s="2" t="s">
        <v>6</v>
      </c>
    </row>
    <row r="6" spans="1:8" ht="18">
      <c r="A6" s="5"/>
      <c r="B6" s="2" t="s">
        <v>17</v>
      </c>
      <c r="C6" s="2" t="s">
        <v>18</v>
      </c>
      <c r="D6" s="2" t="s">
        <v>19</v>
      </c>
      <c r="E6" s="2"/>
      <c r="F6" s="2"/>
      <c r="G6" s="2">
        <f t="shared" si="0"/>
        <v>0</v>
      </c>
      <c r="H6" s="2" t="s">
        <v>6</v>
      </c>
    </row>
    <row r="7" spans="1:8" ht="18">
      <c r="A7" s="6"/>
      <c r="B7" s="2" t="s">
        <v>17</v>
      </c>
      <c r="C7" s="2" t="s">
        <v>20</v>
      </c>
      <c r="D7" s="2" t="s">
        <v>21</v>
      </c>
      <c r="E7" s="2"/>
      <c r="F7" s="2"/>
      <c r="G7" s="2">
        <f t="shared" si="0"/>
        <v>0</v>
      </c>
      <c r="H7" s="2" t="s">
        <v>6</v>
      </c>
    </row>
    <row r="8" spans="1:8" ht="18">
      <c r="A8" s="4" t="s">
        <v>22</v>
      </c>
      <c r="B8" s="4" t="s">
        <v>23</v>
      </c>
      <c r="C8" s="2" t="s">
        <v>24</v>
      </c>
      <c r="D8" s="2" t="s">
        <v>364</v>
      </c>
      <c r="E8" s="2"/>
      <c r="F8" s="2"/>
      <c r="G8" s="2">
        <f t="shared" si="0"/>
        <v>0</v>
      </c>
      <c r="H8" s="2" t="s">
        <v>6</v>
      </c>
    </row>
    <row r="9" spans="1:8" ht="18">
      <c r="A9" s="5"/>
      <c r="B9" s="5"/>
      <c r="C9" s="2" t="s">
        <v>238</v>
      </c>
      <c r="D9" s="2" t="s">
        <v>363</v>
      </c>
      <c r="E9" s="2"/>
      <c r="F9" s="2"/>
      <c r="G9" s="2">
        <f t="shared" si="0"/>
        <v>0</v>
      </c>
      <c r="H9" s="2" t="s">
        <v>6</v>
      </c>
    </row>
    <row r="10" spans="1:8" ht="18">
      <c r="A10" s="5"/>
      <c r="B10" s="5"/>
      <c r="C10" s="2" t="s">
        <v>358</v>
      </c>
      <c r="D10" s="2" t="s">
        <v>359</v>
      </c>
      <c r="E10" s="2"/>
      <c r="F10" s="2"/>
      <c r="G10" s="2"/>
      <c r="H10" s="2"/>
    </row>
    <row r="11" spans="1:8" ht="18">
      <c r="A11" s="5"/>
      <c r="B11" s="5"/>
      <c r="C11" s="2" t="s">
        <v>360</v>
      </c>
      <c r="D11" s="2" t="s">
        <v>362</v>
      </c>
      <c r="E11" s="2"/>
      <c r="F11" s="2"/>
      <c r="G11" s="2"/>
      <c r="H11" s="2"/>
    </row>
    <row r="12" spans="1:8" ht="18">
      <c r="A12" s="5"/>
      <c r="B12" s="5"/>
      <c r="C12" s="2" t="s">
        <v>361</v>
      </c>
      <c r="D12" s="2" t="s">
        <v>362</v>
      </c>
      <c r="E12" s="2"/>
      <c r="F12" s="2"/>
      <c r="G12" s="2"/>
      <c r="H12" s="2"/>
    </row>
    <row r="13" spans="1:8" ht="18">
      <c r="A13" s="5"/>
      <c r="B13" s="5"/>
      <c r="C13" s="2" t="s">
        <v>365</v>
      </c>
      <c r="D13" s="2" t="s">
        <v>362</v>
      </c>
      <c r="E13" s="2"/>
      <c r="F13" s="2"/>
      <c r="G13" s="2"/>
      <c r="H13" s="2"/>
    </row>
    <row r="14" spans="1:8" ht="18">
      <c r="A14" s="6"/>
      <c r="B14" s="6"/>
      <c r="C14" s="2" t="s">
        <v>25</v>
      </c>
      <c r="D14" s="2" t="s">
        <v>26</v>
      </c>
      <c r="E14" s="2"/>
      <c r="F14" s="2"/>
      <c r="G14" s="2">
        <f t="shared" si="0"/>
        <v>0</v>
      </c>
      <c r="H14" s="2" t="s">
        <v>6</v>
      </c>
    </row>
    <row r="15" spans="1:8" ht="18">
      <c r="A15" s="4" t="s">
        <v>27</v>
      </c>
      <c r="B15" s="4" t="s">
        <v>28</v>
      </c>
      <c r="C15" s="2" t="s">
        <v>29</v>
      </c>
      <c r="D15" s="2" t="s">
        <v>30</v>
      </c>
      <c r="E15" s="2"/>
      <c r="F15" s="2"/>
      <c r="G15" s="2">
        <f t="shared" si="0"/>
        <v>0</v>
      </c>
      <c r="H15" s="2" t="s">
        <v>6</v>
      </c>
    </row>
    <row r="16" spans="1:8" ht="18">
      <c r="A16" s="5"/>
      <c r="B16" s="5"/>
      <c r="C16" s="2" t="s">
        <v>31</v>
      </c>
      <c r="D16" s="2" t="s">
        <v>32</v>
      </c>
      <c r="E16" s="2"/>
      <c r="F16" s="2"/>
      <c r="G16" s="2">
        <f t="shared" si="0"/>
        <v>0</v>
      </c>
      <c r="H16" s="2" t="s">
        <v>6</v>
      </c>
    </row>
    <row r="17" spans="1:8" ht="18">
      <c r="A17" s="5"/>
      <c r="B17" s="5"/>
      <c r="C17" s="2" t="s">
        <v>239</v>
      </c>
      <c r="D17" s="2" t="s">
        <v>240</v>
      </c>
      <c r="E17" s="2"/>
      <c r="F17" s="2"/>
      <c r="G17" s="2">
        <f t="shared" si="0"/>
        <v>0</v>
      </c>
      <c r="H17" s="2" t="s">
        <v>6</v>
      </c>
    </row>
    <row r="18" spans="1:8" ht="18">
      <c r="A18" s="5"/>
      <c r="B18" s="5"/>
      <c r="C18" s="2" t="s">
        <v>34</v>
      </c>
      <c r="D18" s="2" t="s">
        <v>241</v>
      </c>
      <c r="E18" s="2"/>
      <c r="F18" s="2"/>
      <c r="G18" s="2">
        <f t="shared" si="0"/>
        <v>0</v>
      </c>
      <c r="H18" s="2" t="s">
        <v>6</v>
      </c>
    </row>
    <row r="19" spans="1:8" ht="18">
      <c r="A19" s="5"/>
      <c r="B19" s="5"/>
      <c r="C19" s="2" t="s">
        <v>35</v>
      </c>
      <c r="D19" s="2" t="s">
        <v>252</v>
      </c>
      <c r="E19" s="2"/>
      <c r="F19" s="2"/>
      <c r="G19" s="2">
        <f t="shared" si="0"/>
        <v>0</v>
      </c>
      <c r="H19" s="2" t="s">
        <v>6</v>
      </c>
    </row>
    <row r="20" spans="1:8" ht="18">
      <c r="A20" s="5"/>
      <c r="B20" s="4" t="s">
        <v>36</v>
      </c>
      <c r="C20" s="2" t="s">
        <v>29</v>
      </c>
      <c r="D20" s="2" t="s">
        <v>37</v>
      </c>
      <c r="E20" s="2"/>
      <c r="F20" s="2"/>
      <c r="G20" s="2">
        <f t="shared" si="0"/>
        <v>0</v>
      </c>
      <c r="H20" s="2" t="s">
        <v>6</v>
      </c>
    </row>
    <row r="21" spans="1:8" ht="18">
      <c r="A21" s="5"/>
      <c r="B21" s="5"/>
      <c r="C21" s="2" t="s">
        <v>31</v>
      </c>
      <c r="D21" s="2" t="s">
        <v>38</v>
      </c>
      <c r="E21" s="2"/>
      <c r="F21" s="2"/>
      <c r="G21" s="2">
        <f t="shared" si="0"/>
        <v>0</v>
      </c>
      <c r="H21" s="2" t="s">
        <v>6</v>
      </c>
    </row>
    <row r="22" spans="1:8" ht="18">
      <c r="A22" s="5"/>
      <c r="B22" s="5"/>
      <c r="C22" s="2" t="s">
        <v>33</v>
      </c>
      <c r="D22" s="2" t="s">
        <v>242</v>
      </c>
      <c r="E22" s="2"/>
      <c r="F22" s="2"/>
      <c r="G22" s="2">
        <f t="shared" si="0"/>
        <v>0</v>
      </c>
      <c r="H22" s="2" t="s">
        <v>6</v>
      </c>
    </row>
    <row r="23" spans="1:8" ht="18">
      <c r="A23" s="5"/>
      <c r="B23" s="5"/>
      <c r="C23" s="2" t="s">
        <v>34</v>
      </c>
      <c r="D23" s="2" t="s">
        <v>243</v>
      </c>
      <c r="E23" s="2"/>
      <c r="F23" s="2"/>
      <c r="G23" s="2">
        <f t="shared" si="0"/>
        <v>0</v>
      </c>
      <c r="H23" s="2" t="s">
        <v>6</v>
      </c>
    </row>
    <row r="24" spans="1:8" ht="18">
      <c r="A24" s="5"/>
      <c r="B24" s="5"/>
      <c r="C24" s="2" t="s">
        <v>35</v>
      </c>
      <c r="D24" s="2" t="s">
        <v>252</v>
      </c>
      <c r="E24" s="2"/>
      <c r="F24" s="2"/>
      <c r="G24" s="2">
        <f t="shared" si="0"/>
        <v>0</v>
      </c>
      <c r="H24" s="2" t="s">
        <v>6</v>
      </c>
    </row>
    <row r="25" spans="1:8" ht="18">
      <c r="A25" s="5"/>
      <c r="B25" s="4" t="s">
        <v>39</v>
      </c>
      <c r="C25" s="2" t="s">
        <v>29</v>
      </c>
      <c r="D25" s="2" t="s">
        <v>40</v>
      </c>
      <c r="E25" s="2"/>
      <c r="F25" s="2"/>
      <c r="G25" s="2">
        <f t="shared" si="0"/>
        <v>0</v>
      </c>
      <c r="H25" s="2" t="s">
        <v>6</v>
      </c>
    </row>
    <row r="26" spans="1:8" ht="18">
      <c r="A26" s="5"/>
      <c r="B26" s="5"/>
      <c r="C26" s="2" t="s">
        <v>31</v>
      </c>
      <c r="D26" s="2" t="s">
        <v>41</v>
      </c>
      <c r="E26" s="2"/>
      <c r="F26" s="2"/>
      <c r="G26" s="2">
        <f t="shared" si="0"/>
        <v>0</v>
      </c>
      <c r="H26" s="2" t="s">
        <v>6</v>
      </c>
    </row>
    <row r="27" spans="1:8" ht="18">
      <c r="A27" s="5"/>
      <c r="B27" s="5"/>
      <c r="C27" s="2" t="s">
        <v>33</v>
      </c>
      <c r="D27" s="2" t="s">
        <v>244</v>
      </c>
      <c r="E27" s="2"/>
      <c r="F27" s="2"/>
      <c r="G27" s="2">
        <f t="shared" si="0"/>
        <v>0</v>
      </c>
      <c r="H27" s="2" t="s">
        <v>6</v>
      </c>
    </row>
    <row r="28" spans="1:8" ht="18">
      <c r="A28" s="5"/>
      <c r="B28" s="5"/>
      <c r="C28" s="2" t="s">
        <v>34</v>
      </c>
      <c r="D28" s="2" t="s">
        <v>245</v>
      </c>
      <c r="E28" s="2"/>
      <c r="F28" s="2"/>
      <c r="G28" s="2">
        <f t="shared" si="0"/>
        <v>0</v>
      </c>
      <c r="H28" s="2" t="s">
        <v>6</v>
      </c>
    </row>
    <row r="29" spans="1:8" ht="18">
      <c r="A29" s="5"/>
      <c r="B29" s="5"/>
      <c r="C29" s="2" t="s">
        <v>35</v>
      </c>
      <c r="D29" s="2" t="s">
        <v>252</v>
      </c>
      <c r="E29" s="2"/>
      <c r="F29" s="2"/>
      <c r="G29" s="2">
        <f t="shared" si="0"/>
        <v>0</v>
      </c>
      <c r="H29" s="2" t="s">
        <v>6</v>
      </c>
    </row>
    <row r="30" spans="1:8" ht="18">
      <c r="A30" s="5"/>
      <c r="B30" s="4" t="s">
        <v>42</v>
      </c>
      <c r="C30" s="2" t="s">
        <v>29</v>
      </c>
      <c r="D30" s="2" t="s">
        <v>43</v>
      </c>
      <c r="E30" s="2"/>
      <c r="F30" s="2"/>
      <c r="G30" s="2">
        <f t="shared" ref="G30:G34" si="1">SUM(E30:F30)</f>
        <v>0</v>
      </c>
      <c r="H30" s="2" t="s">
        <v>6</v>
      </c>
    </row>
    <row r="31" spans="1:8" ht="18">
      <c r="A31" s="5"/>
      <c r="B31" s="5"/>
      <c r="C31" s="2" t="s">
        <v>31</v>
      </c>
      <c r="D31" s="2" t="s">
        <v>44</v>
      </c>
      <c r="E31" s="2"/>
      <c r="F31" s="2"/>
      <c r="G31" s="2">
        <f t="shared" si="1"/>
        <v>0</v>
      </c>
      <c r="H31" s="2" t="s">
        <v>6</v>
      </c>
    </row>
    <row r="32" spans="1:8" ht="18">
      <c r="A32" s="5"/>
      <c r="B32" s="5"/>
      <c r="C32" s="2" t="s">
        <v>33</v>
      </c>
      <c r="D32" s="2" t="s">
        <v>45</v>
      </c>
      <c r="E32" s="2"/>
      <c r="F32" s="2"/>
      <c r="G32" s="2">
        <f t="shared" si="1"/>
        <v>0</v>
      </c>
      <c r="H32" s="2" t="s">
        <v>6</v>
      </c>
    </row>
    <row r="33" spans="1:8" ht="18">
      <c r="A33" s="5"/>
      <c r="B33" s="5"/>
      <c r="C33" s="2" t="s">
        <v>34</v>
      </c>
      <c r="D33" s="2" t="s">
        <v>46</v>
      </c>
      <c r="E33" s="2"/>
      <c r="F33" s="2"/>
      <c r="G33" s="2">
        <f t="shared" si="1"/>
        <v>0</v>
      </c>
      <c r="H33" s="2" t="s">
        <v>6</v>
      </c>
    </row>
    <row r="34" spans="1:8" ht="18">
      <c r="A34" s="5"/>
      <c r="B34" s="6"/>
      <c r="C34" s="2" t="s">
        <v>35</v>
      </c>
      <c r="D34" s="2" t="s">
        <v>252</v>
      </c>
      <c r="E34" s="2"/>
      <c r="F34" s="2"/>
      <c r="G34" s="2">
        <f t="shared" si="1"/>
        <v>0</v>
      </c>
      <c r="H34" s="2" t="s">
        <v>6</v>
      </c>
    </row>
    <row r="35" spans="1:8" ht="18">
      <c r="A35" s="5"/>
      <c r="B35" s="4" t="s">
        <v>401</v>
      </c>
      <c r="C35" s="2" t="s">
        <v>29</v>
      </c>
      <c r="D35" s="2" t="s">
        <v>43</v>
      </c>
      <c r="E35" s="2"/>
      <c r="F35" s="2"/>
      <c r="G35" s="2">
        <f t="shared" si="0"/>
        <v>0</v>
      </c>
      <c r="H35" s="2" t="s">
        <v>6</v>
      </c>
    </row>
    <row r="36" spans="1:8" ht="18">
      <c r="A36" s="5"/>
      <c r="B36" s="5"/>
      <c r="C36" s="2" t="s">
        <v>31</v>
      </c>
      <c r="D36" s="2" t="s">
        <v>44</v>
      </c>
      <c r="E36" s="2"/>
      <c r="F36" s="2"/>
      <c r="G36" s="2">
        <f t="shared" si="0"/>
        <v>0</v>
      </c>
      <c r="H36" s="2" t="s">
        <v>6</v>
      </c>
    </row>
    <row r="37" spans="1:8" ht="18">
      <c r="A37" s="5"/>
      <c r="B37" s="5"/>
      <c r="C37" s="2" t="s">
        <v>399</v>
      </c>
      <c r="D37" s="2" t="s">
        <v>400</v>
      </c>
      <c r="E37" s="2"/>
      <c r="F37" s="2"/>
      <c r="G37" s="2">
        <f t="shared" si="0"/>
        <v>0</v>
      </c>
      <c r="H37" s="2" t="s">
        <v>6</v>
      </c>
    </row>
    <row r="38" spans="1:8" ht="18">
      <c r="A38" s="6"/>
      <c r="B38" s="6"/>
      <c r="C38" s="2" t="s">
        <v>35</v>
      </c>
      <c r="D38" s="2" t="s">
        <v>252</v>
      </c>
      <c r="E38" s="2"/>
      <c r="F38" s="2"/>
      <c r="G38" s="2">
        <f t="shared" si="0"/>
        <v>0</v>
      </c>
      <c r="H38" s="2" t="s">
        <v>6</v>
      </c>
    </row>
    <row r="39" spans="1:8" ht="18">
      <c r="A39" s="4" t="s">
        <v>246</v>
      </c>
      <c r="B39" s="4" t="s">
        <v>247</v>
      </c>
      <c r="C39" s="2" t="s">
        <v>48</v>
      </c>
      <c r="D39" s="2" t="s">
        <v>249</v>
      </c>
      <c r="E39" s="2"/>
      <c r="F39" s="2"/>
      <c r="G39" s="2">
        <f t="shared" si="0"/>
        <v>0</v>
      </c>
      <c r="H39" s="2" t="s">
        <v>6</v>
      </c>
    </row>
    <row r="40" spans="1:8" ht="18">
      <c r="A40" s="5"/>
      <c r="B40" s="5"/>
      <c r="C40" s="2" t="s">
        <v>49</v>
      </c>
      <c r="D40" s="2" t="s">
        <v>250</v>
      </c>
      <c r="E40" s="2"/>
      <c r="F40" s="2"/>
      <c r="G40" s="2">
        <f t="shared" si="0"/>
        <v>0</v>
      </c>
      <c r="H40" s="2" t="s">
        <v>6</v>
      </c>
    </row>
    <row r="41" spans="1:8" ht="18">
      <c r="A41" s="5"/>
      <c r="B41" s="5"/>
      <c r="C41" s="2" t="s">
        <v>50</v>
      </c>
      <c r="D41" s="2" t="s">
        <v>51</v>
      </c>
      <c r="E41" s="2"/>
      <c r="F41" s="2"/>
      <c r="G41" s="2">
        <f t="shared" si="0"/>
        <v>0</v>
      </c>
      <c r="H41" s="2" t="s">
        <v>6</v>
      </c>
    </row>
    <row r="42" spans="1:8" ht="18">
      <c r="A42" s="5"/>
      <c r="B42" s="5"/>
      <c r="C42" s="2" t="s">
        <v>52</v>
      </c>
      <c r="D42" s="2" t="s">
        <v>53</v>
      </c>
      <c r="E42" s="2"/>
      <c r="F42" s="2"/>
      <c r="G42" s="2">
        <f t="shared" si="0"/>
        <v>0</v>
      </c>
      <c r="H42" s="2" t="s">
        <v>6</v>
      </c>
    </row>
    <row r="43" spans="1:8" ht="18">
      <c r="A43" s="5"/>
      <c r="B43" s="5"/>
      <c r="C43" s="2" t="s">
        <v>54</v>
      </c>
      <c r="D43" s="2" t="s">
        <v>55</v>
      </c>
      <c r="E43" s="2"/>
      <c r="F43" s="2"/>
      <c r="G43" s="2">
        <f t="shared" si="0"/>
        <v>0</v>
      </c>
      <c r="H43" s="2" t="s">
        <v>6</v>
      </c>
    </row>
    <row r="44" spans="1:8" ht="18">
      <c r="A44" s="5"/>
      <c r="B44" s="6"/>
      <c r="C44" s="2" t="s">
        <v>56</v>
      </c>
      <c r="D44" s="2" t="s">
        <v>253</v>
      </c>
      <c r="E44" s="2"/>
      <c r="F44" s="2"/>
      <c r="G44" s="2">
        <f t="shared" si="0"/>
        <v>0</v>
      </c>
      <c r="H44" s="2" t="s">
        <v>6</v>
      </c>
    </row>
    <row r="45" spans="1:8" ht="18">
      <c r="A45" s="5"/>
      <c r="B45" s="4" t="s">
        <v>255</v>
      </c>
      <c r="C45" s="2" t="s">
        <v>248</v>
      </c>
      <c r="D45" s="2" t="s">
        <v>254</v>
      </c>
      <c r="E45" s="2"/>
      <c r="F45" s="2"/>
      <c r="G45" s="2">
        <f t="shared" si="0"/>
        <v>0</v>
      </c>
      <c r="H45" s="2" t="s">
        <v>6</v>
      </c>
    </row>
    <row r="46" spans="1:8" ht="18">
      <c r="A46" s="5"/>
      <c r="B46" s="5"/>
      <c r="C46" s="2" t="s">
        <v>257</v>
      </c>
      <c r="D46" s="2" t="s">
        <v>256</v>
      </c>
      <c r="E46" s="2"/>
      <c r="F46" s="2"/>
      <c r="G46" s="2">
        <f t="shared" si="0"/>
        <v>0</v>
      </c>
      <c r="H46" s="2" t="s">
        <v>6</v>
      </c>
    </row>
    <row r="47" spans="1:8" ht="18">
      <c r="A47" s="5"/>
      <c r="B47" s="5"/>
      <c r="C47" s="2" t="s">
        <v>57</v>
      </c>
      <c r="D47" s="2" t="s">
        <v>58</v>
      </c>
      <c r="E47" s="2"/>
      <c r="F47" s="2"/>
      <c r="G47" s="2">
        <f t="shared" si="0"/>
        <v>0</v>
      </c>
      <c r="H47" s="2" t="s">
        <v>6</v>
      </c>
    </row>
    <row r="48" spans="1:8" ht="18">
      <c r="A48" s="6"/>
      <c r="B48" s="6"/>
      <c r="C48" s="2" t="s">
        <v>59</v>
      </c>
      <c r="D48" s="2" t="s">
        <v>60</v>
      </c>
      <c r="E48" s="2"/>
      <c r="F48" s="2"/>
      <c r="G48" s="2">
        <f t="shared" si="0"/>
        <v>0</v>
      </c>
      <c r="H48" s="2" t="s">
        <v>6</v>
      </c>
    </row>
    <row r="49" spans="1:8" ht="18">
      <c r="A49" s="82" t="s">
        <v>61</v>
      </c>
      <c r="B49" s="4" t="s">
        <v>66</v>
      </c>
      <c r="C49" s="2" t="s">
        <v>67</v>
      </c>
      <c r="D49" s="2" t="s">
        <v>262</v>
      </c>
      <c r="E49" s="2"/>
      <c r="F49" s="2"/>
      <c r="G49" s="2">
        <f t="shared" si="0"/>
        <v>0</v>
      </c>
      <c r="H49" s="2" t="s">
        <v>6</v>
      </c>
    </row>
    <row r="50" spans="1:8" ht="18">
      <c r="A50" s="83"/>
      <c r="B50" s="5"/>
      <c r="C50" s="2" t="s">
        <v>68</v>
      </c>
      <c r="D50" s="2" t="s">
        <v>69</v>
      </c>
      <c r="E50" s="2"/>
      <c r="F50" s="2"/>
      <c r="G50" s="2">
        <f t="shared" si="0"/>
        <v>0</v>
      </c>
      <c r="H50" s="2" t="s">
        <v>6</v>
      </c>
    </row>
    <row r="51" spans="1:8" ht="18">
      <c r="A51" s="83"/>
      <c r="B51" s="5"/>
      <c r="C51" s="2" t="s">
        <v>70</v>
      </c>
      <c r="D51" s="2" t="s">
        <v>71</v>
      </c>
      <c r="E51" s="2"/>
      <c r="F51" s="2"/>
      <c r="G51" s="2">
        <f t="shared" si="0"/>
        <v>0</v>
      </c>
      <c r="H51" s="2" t="s">
        <v>6</v>
      </c>
    </row>
    <row r="52" spans="1:8" ht="18">
      <c r="A52" s="83"/>
      <c r="B52" s="6"/>
      <c r="C52" s="2" t="s">
        <v>72</v>
      </c>
      <c r="D52" s="2" t="s">
        <v>73</v>
      </c>
      <c r="E52" s="2"/>
      <c r="F52" s="2"/>
      <c r="G52" s="2">
        <f t="shared" si="0"/>
        <v>0</v>
      </c>
      <c r="H52" s="2" t="s">
        <v>6</v>
      </c>
    </row>
    <row r="53" spans="1:8" ht="18">
      <c r="A53" s="83"/>
      <c r="B53" s="4" t="s">
        <v>62</v>
      </c>
      <c r="C53" s="2" t="s">
        <v>63</v>
      </c>
      <c r="D53" s="2" t="s">
        <v>366</v>
      </c>
      <c r="E53" s="2"/>
      <c r="F53" s="2"/>
      <c r="G53" s="2">
        <f>SUM(E53:F53)</f>
        <v>0</v>
      </c>
      <c r="H53" s="2" t="s">
        <v>6</v>
      </c>
    </row>
    <row r="54" spans="1:8" ht="18">
      <c r="A54" s="83"/>
      <c r="B54" s="5"/>
      <c r="C54" s="2" t="s">
        <v>64</v>
      </c>
      <c r="D54" s="2" t="s">
        <v>374</v>
      </c>
      <c r="E54" s="2"/>
      <c r="F54" s="2"/>
      <c r="G54" s="2">
        <f>SUM(E54:F54)</f>
        <v>0</v>
      </c>
      <c r="H54" s="2" t="s">
        <v>6</v>
      </c>
    </row>
    <row r="55" spans="1:8" ht="18">
      <c r="A55" s="83"/>
      <c r="B55" s="6"/>
      <c r="C55" s="2" t="s">
        <v>65</v>
      </c>
      <c r="D55" s="2" t="s">
        <v>375</v>
      </c>
      <c r="E55" s="2"/>
      <c r="F55" s="2"/>
      <c r="G55" s="2">
        <f>SUM(E55:F55)</f>
        <v>0</v>
      </c>
      <c r="H55" s="2" t="s">
        <v>6</v>
      </c>
    </row>
    <row r="56" spans="1:8" ht="18">
      <c r="A56" s="83"/>
      <c r="B56" s="4" t="s">
        <v>74</v>
      </c>
      <c r="C56" s="2" t="s">
        <v>261</v>
      </c>
      <c r="D56" s="2" t="s">
        <v>75</v>
      </c>
      <c r="E56" s="2"/>
      <c r="F56" s="2"/>
      <c r="G56" s="2">
        <f t="shared" si="0"/>
        <v>0</v>
      </c>
      <c r="H56" s="2" t="s">
        <v>6</v>
      </c>
    </row>
    <row r="57" spans="1:8" ht="18">
      <c r="A57" s="83"/>
      <c r="B57" s="5"/>
      <c r="C57" s="2" t="s">
        <v>76</v>
      </c>
      <c r="D57" s="2" t="s">
        <v>367</v>
      </c>
      <c r="E57" s="2"/>
      <c r="F57" s="2"/>
      <c r="G57" s="2">
        <f t="shared" si="0"/>
        <v>0</v>
      </c>
      <c r="H57" s="2" t="s">
        <v>6</v>
      </c>
    </row>
    <row r="58" spans="1:8" ht="18">
      <c r="A58" s="83"/>
      <c r="B58" s="5"/>
      <c r="C58" s="2" t="s">
        <v>77</v>
      </c>
      <c r="D58" s="2" t="s">
        <v>78</v>
      </c>
      <c r="E58" s="2"/>
      <c r="F58" s="2"/>
      <c r="G58" s="2">
        <f t="shared" si="0"/>
        <v>0</v>
      </c>
      <c r="H58" s="2" t="s">
        <v>6</v>
      </c>
    </row>
    <row r="59" spans="1:8" ht="18">
      <c r="A59" s="83"/>
      <c r="B59" s="5"/>
      <c r="C59" s="2" t="s">
        <v>258</v>
      </c>
      <c r="D59" s="2" t="s">
        <v>259</v>
      </c>
      <c r="E59" s="2"/>
      <c r="F59" s="2"/>
      <c r="G59" s="2">
        <f t="shared" si="0"/>
        <v>0</v>
      </c>
      <c r="H59" s="2" t="s">
        <v>6</v>
      </c>
    </row>
    <row r="60" spans="1:8" ht="18">
      <c r="A60" s="83"/>
      <c r="B60" s="5"/>
      <c r="C60" s="2" t="s">
        <v>79</v>
      </c>
      <c r="D60" s="2" t="s">
        <v>80</v>
      </c>
      <c r="E60" s="2"/>
      <c r="F60" s="2"/>
      <c r="G60" s="2">
        <f t="shared" si="0"/>
        <v>0</v>
      </c>
      <c r="H60" s="2" t="s">
        <v>6</v>
      </c>
    </row>
    <row r="61" spans="1:8" ht="18">
      <c r="A61" s="83"/>
      <c r="B61" s="5"/>
      <c r="C61" s="2" t="s">
        <v>81</v>
      </c>
      <c r="D61" s="2" t="s">
        <v>260</v>
      </c>
      <c r="E61" s="2"/>
      <c r="F61" s="2"/>
      <c r="G61" s="2">
        <f t="shared" si="0"/>
        <v>0</v>
      </c>
      <c r="H61" s="2" t="s">
        <v>6</v>
      </c>
    </row>
    <row r="62" spans="1:8" ht="18">
      <c r="A62" s="83"/>
      <c r="B62" s="5"/>
      <c r="C62" s="2" t="s">
        <v>82</v>
      </c>
      <c r="D62" s="2" t="s">
        <v>376</v>
      </c>
      <c r="E62" s="2"/>
      <c r="F62" s="2"/>
      <c r="G62" s="2">
        <f t="shared" si="0"/>
        <v>0</v>
      </c>
      <c r="H62" s="2" t="s">
        <v>6</v>
      </c>
    </row>
    <row r="63" spans="1:8" ht="18">
      <c r="A63" s="83"/>
      <c r="B63" s="5"/>
      <c r="C63" s="2" t="s">
        <v>83</v>
      </c>
      <c r="D63" s="2" t="s">
        <v>84</v>
      </c>
      <c r="E63" s="2"/>
      <c r="F63" s="2"/>
      <c r="G63" s="2">
        <f t="shared" si="0"/>
        <v>0</v>
      </c>
      <c r="H63" s="2" t="s">
        <v>6</v>
      </c>
    </row>
    <row r="64" spans="1:8" ht="18">
      <c r="A64" s="83"/>
      <c r="B64" s="5"/>
      <c r="C64" s="2" t="s">
        <v>85</v>
      </c>
      <c r="D64" s="2" t="s">
        <v>86</v>
      </c>
      <c r="E64" s="2"/>
      <c r="F64" s="2"/>
      <c r="G64" s="2">
        <f t="shared" si="0"/>
        <v>0</v>
      </c>
      <c r="H64" s="2" t="s">
        <v>6</v>
      </c>
    </row>
    <row r="65" spans="1:8" ht="18">
      <c r="A65" s="83"/>
      <c r="B65" s="5"/>
      <c r="C65" s="2" t="s">
        <v>87</v>
      </c>
      <c r="D65" s="2" t="s">
        <v>88</v>
      </c>
      <c r="E65" s="2"/>
      <c r="F65" s="2"/>
      <c r="G65" s="2">
        <f t="shared" si="0"/>
        <v>0</v>
      </c>
      <c r="H65" s="2" t="s">
        <v>6</v>
      </c>
    </row>
    <row r="66" spans="1:8" ht="18">
      <c r="A66" s="83"/>
      <c r="B66" s="5"/>
      <c r="C66" s="2" t="s">
        <v>89</v>
      </c>
      <c r="D66" s="2" t="s">
        <v>90</v>
      </c>
      <c r="E66" s="2"/>
      <c r="F66" s="2"/>
      <c r="G66" s="2">
        <f t="shared" si="0"/>
        <v>0</v>
      </c>
      <c r="H66" s="2" t="s">
        <v>6</v>
      </c>
    </row>
    <row r="67" spans="1:8" ht="18">
      <c r="A67" s="83"/>
      <c r="B67" s="6"/>
      <c r="C67" s="2" t="s">
        <v>368</v>
      </c>
      <c r="D67" s="2" t="s">
        <v>369</v>
      </c>
      <c r="E67" s="2"/>
      <c r="F67" s="2"/>
      <c r="G67" s="2"/>
      <c r="H67" s="2"/>
    </row>
    <row r="68" spans="1:8" ht="18">
      <c r="A68" s="83"/>
      <c r="B68" s="4" t="s">
        <v>229</v>
      </c>
      <c r="C68" s="2" t="s">
        <v>230</v>
      </c>
      <c r="D68" s="2" t="s">
        <v>231</v>
      </c>
      <c r="E68" s="2"/>
      <c r="F68" s="2"/>
      <c r="G68" s="2">
        <f t="shared" si="0"/>
        <v>0</v>
      </c>
      <c r="H68" s="2"/>
    </row>
    <row r="69" spans="1:8" ht="18">
      <c r="A69" s="83"/>
      <c r="B69" s="5"/>
      <c r="C69" s="2" t="s">
        <v>232</v>
      </c>
      <c r="D69" s="2" t="s">
        <v>233</v>
      </c>
      <c r="E69" s="2"/>
      <c r="F69" s="2"/>
      <c r="G69" s="2">
        <f t="shared" si="0"/>
        <v>0</v>
      </c>
      <c r="H69" s="2"/>
    </row>
    <row r="70" spans="1:8" ht="18">
      <c r="A70" s="84"/>
      <c r="B70" s="6"/>
      <c r="C70" s="2" t="s">
        <v>234</v>
      </c>
      <c r="D70" s="2" t="s">
        <v>235</v>
      </c>
      <c r="E70" s="2"/>
      <c r="F70" s="2"/>
      <c r="G70" s="2">
        <f t="shared" si="0"/>
        <v>0</v>
      </c>
      <c r="H70" s="2"/>
    </row>
    <row r="71" spans="1:8" ht="18">
      <c r="A71" s="4" t="s">
        <v>295</v>
      </c>
      <c r="B71" s="4" t="s">
        <v>91</v>
      </c>
      <c r="C71" s="2" t="s">
        <v>31</v>
      </c>
      <c r="D71" s="2" t="s">
        <v>92</v>
      </c>
      <c r="E71" s="2"/>
      <c r="F71" s="2"/>
      <c r="G71" s="2">
        <f t="shared" si="0"/>
        <v>0</v>
      </c>
      <c r="H71" s="2" t="s">
        <v>6</v>
      </c>
    </row>
    <row r="72" spans="1:8" ht="18">
      <c r="A72" s="5"/>
      <c r="B72" s="5"/>
      <c r="C72" s="2" t="s">
        <v>93</v>
      </c>
      <c r="D72" s="2" t="s">
        <v>94</v>
      </c>
      <c r="E72" s="2"/>
      <c r="F72" s="2"/>
      <c r="G72" s="2">
        <f t="shared" ref="G72:G174" si="2">SUM(E72:F72)</f>
        <v>0</v>
      </c>
      <c r="H72" s="2" t="s">
        <v>6</v>
      </c>
    </row>
    <row r="73" spans="1:8" ht="18">
      <c r="A73" s="5"/>
      <c r="B73" s="5"/>
      <c r="C73" s="2" t="s">
        <v>95</v>
      </c>
      <c r="D73" s="2" t="s">
        <v>96</v>
      </c>
      <c r="E73" s="2"/>
      <c r="F73" s="2"/>
      <c r="G73" s="2">
        <f t="shared" si="2"/>
        <v>0</v>
      </c>
      <c r="H73" s="2" t="s">
        <v>6</v>
      </c>
    </row>
    <row r="74" spans="1:8" ht="18">
      <c r="A74" s="5"/>
      <c r="B74" s="5"/>
      <c r="C74" s="2" t="s">
        <v>97</v>
      </c>
      <c r="D74" s="2" t="s">
        <v>98</v>
      </c>
      <c r="E74" s="2"/>
      <c r="F74" s="2"/>
      <c r="G74" s="2">
        <f t="shared" si="2"/>
        <v>0</v>
      </c>
      <c r="H74" s="2" t="s">
        <v>6</v>
      </c>
    </row>
    <row r="75" spans="1:8" ht="18">
      <c r="A75" s="5"/>
      <c r="B75" s="5"/>
      <c r="C75" s="2" t="s">
        <v>99</v>
      </c>
      <c r="D75" s="2" t="s">
        <v>263</v>
      </c>
      <c r="E75" s="2"/>
      <c r="F75" s="2"/>
      <c r="G75" s="2">
        <f t="shared" si="2"/>
        <v>0</v>
      </c>
      <c r="H75" s="2" t="s">
        <v>6</v>
      </c>
    </row>
    <row r="76" spans="1:8" ht="18">
      <c r="A76" s="5"/>
      <c r="B76" s="5"/>
      <c r="C76" s="2" t="s">
        <v>100</v>
      </c>
      <c r="D76" s="2" t="s">
        <v>101</v>
      </c>
      <c r="E76" s="2"/>
      <c r="F76" s="2"/>
      <c r="G76" s="2">
        <f t="shared" si="2"/>
        <v>0</v>
      </c>
      <c r="H76" s="2" t="s">
        <v>6</v>
      </c>
    </row>
    <row r="77" spans="1:8" ht="18">
      <c r="A77" s="5"/>
      <c r="B77" s="5"/>
      <c r="C77" s="2" t="s">
        <v>102</v>
      </c>
      <c r="D77" s="2" t="s">
        <v>371</v>
      </c>
      <c r="E77" s="2"/>
      <c r="F77" s="2"/>
      <c r="G77" s="2">
        <f t="shared" si="2"/>
        <v>0</v>
      </c>
      <c r="H77" s="2" t="s">
        <v>6</v>
      </c>
    </row>
    <row r="78" spans="1:8" ht="18">
      <c r="A78" s="5"/>
      <c r="B78" s="5"/>
      <c r="C78" s="2" t="s">
        <v>251</v>
      </c>
      <c r="D78" s="2" t="s">
        <v>370</v>
      </c>
      <c r="E78" s="2"/>
      <c r="F78" s="2"/>
      <c r="G78" s="2">
        <f t="shared" si="2"/>
        <v>0</v>
      </c>
      <c r="H78" s="2" t="s">
        <v>6</v>
      </c>
    </row>
    <row r="79" spans="1:8" ht="18">
      <c r="A79" s="5"/>
      <c r="B79" s="5"/>
      <c r="C79" s="2" t="s">
        <v>103</v>
      </c>
      <c r="D79" s="2" t="s">
        <v>104</v>
      </c>
      <c r="E79" s="2"/>
      <c r="F79" s="2"/>
      <c r="G79" s="2">
        <f t="shared" si="2"/>
        <v>0</v>
      </c>
      <c r="H79" s="2" t="s">
        <v>6</v>
      </c>
    </row>
    <row r="80" spans="1:8" ht="18">
      <c r="A80" s="6"/>
      <c r="B80" s="6"/>
      <c r="C80" s="2" t="s">
        <v>105</v>
      </c>
      <c r="D80" s="2" t="s">
        <v>106</v>
      </c>
      <c r="E80" s="2"/>
      <c r="F80" s="2"/>
      <c r="G80" s="2">
        <f t="shared" si="2"/>
        <v>0</v>
      </c>
      <c r="H80" s="2" t="s">
        <v>6</v>
      </c>
    </row>
    <row r="81" spans="1:8" ht="18">
      <c r="A81" s="4" t="s">
        <v>293</v>
      </c>
      <c r="B81" s="4" t="s">
        <v>107</v>
      </c>
      <c r="C81" s="2" t="s">
        <v>108</v>
      </c>
      <c r="D81" s="2" t="s">
        <v>372</v>
      </c>
      <c r="E81" s="2"/>
      <c r="F81" s="2"/>
      <c r="G81" s="2">
        <f t="shared" si="2"/>
        <v>0</v>
      </c>
      <c r="H81" s="2" t="s">
        <v>6</v>
      </c>
    </row>
    <row r="82" spans="1:8" ht="18">
      <c r="A82" s="5"/>
      <c r="B82" s="5"/>
      <c r="C82" s="2" t="s">
        <v>109</v>
      </c>
      <c r="D82" s="2" t="s">
        <v>110</v>
      </c>
      <c r="E82" s="2"/>
      <c r="F82" s="2"/>
      <c r="G82" s="2">
        <f t="shared" si="2"/>
        <v>0</v>
      </c>
      <c r="H82" s="2" t="s">
        <v>6</v>
      </c>
    </row>
    <row r="83" spans="1:8" ht="18">
      <c r="A83" s="5"/>
      <c r="B83" s="5"/>
      <c r="C83" s="2" t="s">
        <v>111</v>
      </c>
      <c r="D83" s="2" t="s">
        <v>112</v>
      </c>
      <c r="E83" s="2"/>
      <c r="F83" s="2"/>
      <c r="G83" s="2">
        <f t="shared" si="2"/>
        <v>0</v>
      </c>
      <c r="H83" s="2" t="s">
        <v>6</v>
      </c>
    </row>
    <row r="84" spans="1:8" ht="18">
      <c r="A84" s="5"/>
      <c r="B84" s="5"/>
      <c r="C84" s="2" t="s">
        <v>113</v>
      </c>
      <c r="D84" s="2" t="s">
        <v>114</v>
      </c>
      <c r="E84" s="2"/>
      <c r="F84" s="2"/>
      <c r="G84" s="2">
        <f t="shared" si="2"/>
        <v>0</v>
      </c>
      <c r="H84" s="2" t="s">
        <v>6</v>
      </c>
    </row>
    <row r="85" spans="1:8" ht="18">
      <c r="A85" s="5"/>
      <c r="B85" s="6"/>
      <c r="C85" s="2" t="s">
        <v>117</v>
      </c>
      <c r="D85" s="2" t="s">
        <v>118</v>
      </c>
      <c r="E85" s="2"/>
      <c r="F85" s="2"/>
      <c r="G85" s="2">
        <f>SUM(E85:F85)</f>
        <v>0</v>
      </c>
      <c r="H85" s="2" t="s">
        <v>6</v>
      </c>
    </row>
    <row r="86" spans="1:8" ht="18">
      <c r="A86" s="5"/>
      <c r="B86" s="4" t="s">
        <v>119</v>
      </c>
      <c r="C86" s="2" t="s">
        <v>115</v>
      </c>
      <c r="D86" s="2" t="s">
        <v>116</v>
      </c>
      <c r="E86" s="2"/>
      <c r="F86" s="2"/>
      <c r="G86" s="2">
        <f t="shared" si="2"/>
        <v>0</v>
      </c>
      <c r="H86" s="2" t="s">
        <v>6</v>
      </c>
    </row>
    <row r="87" spans="1:8" ht="18">
      <c r="A87" s="5"/>
      <c r="B87" s="5"/>
      <c r="C87" s="2" t="s">
        <v>31</v>
      </c>
      <c r="D87" s="2" t="s">
        <v>120</v>
      </c>
      <c r="E87" s="2"/>
      <c r="F87" s="2"/>
      <c r="G87" s="2">
        <f t="shared" si="2"/>
        <v>0</v>
      </c>
      <c r="H87" s="2" t="s">
        <v>6</v>
      </c>
    </row>
    <row r="88" spans="1:8" ht="18">
      <c r="A88" s="5"/>
      <c r="B88" s="5"/>
      <c r="C88" s="2" t="s">
        <v>93</v>
      </c>
      <c r="D88" s="2" t="s">
        <v>121</v>
      </c>
      <c r="E88" s="2"/>
      <c r="F88" s="2"/>
      <c r="G88" s="2">
        <f t="shared" si="2"/>
        <v>0</v>
      </c>
      <c r="H88" s="2" t="s">
        <v>6</v>
      </c>
    </row>
    <row r="89" spans="1:8" ht="18">
      <c r="A89" s="5"/>
      <c r="B89" s="5"/>
      <c r="C89" s="2" t="s">
        <v>97</v>
      </c>
      <c r="D89" s="2" t="s">
        <v>98</v>
      </c>
      <c r="E89" s="2"/>
      <c r="F89" s="2"/>
      <c r="G89" s="2">
        <f t="shared" si="2"/>
        <v>0</v>
      </c>
      <c r="H89" s="2" t="s">
        <v>6</v>
      </c>
    </row>
    <row r="90" spans="1:8" ht="18">
      <c r="A90" s="5"/>
      <c r="B90" s="5"/>
      <c r="C90" s="2" t="s">
        <v>122</v>
      </c>
      <c r="D90" s="2" t="s">
        <v>292</v>
      </c>
      <c r="E90" s="2"/>
      <c r="F90" s="2"/>
      <c r="G90" s="2">
        <f t="shared" si="2"/>
        <v>0</v>
      </c>
      <c r="H90" s="2" t="s">
        <v>6</v>
      </c>
    </row>
    <row r="91" spans="1:8" ht="18">
      <c r="A91" s="5"/>
      <c r="B91" s="5"/>
      <c r="C91" s="2" t="s">
        <v>373</v>
      </c>
      <c r="D91" s="2" t="s">
        <v>123</v>
      </c>
      <c r="E91" s="2"/>
      <c r="F91" s="2"/>
      <c r="G91" s="2">
        <f t="shared" si="2"/>
        <v>0</v>
      </c>
      <c r="H91" s="2" t="s">
        <v>6</v>
      </c>
    </row>
    <row r="92" spans="1:8" ht="18">
      <c r="A92" s="6"/>
      <c r="B92" s="6"/>
      <c r="C92" s="2" t="s">
        <v>124</v>
      </c>
      <c r="D92" s="2" t="s">
        <v>125</v>
      </c>
      <c r="E92" s="2"/>
      <c r="F92" s="2"/>
      <c r="G92" s="2">
        <f t="shared" si="2"/>
        <v>0</v>
      </c>
      <c r="H92" s="2" t="s">
        <v>6</v>
      </c>
    </row>
    <row r="93" spans="1:8" ht="18">
      <c r="A93" s="4" t="s">
        <v>294</v>
      </c>
      <c r="B93" s="4" t="s">
        <v>126</v>
      </c>
      <c r="C93" s="2" t="s">
        <v>31</v>
      </c>
      <c r="D93" s="2" t="s">
        <v>377</v>
      </c>
      <c r="E93" s="2"/>
      <c r="F93" s="2"/>
      <c r="G93" s="2">
        <f t="shared" si="2"/>
        <v>0</v>
      </c>
      <c r="H93" s="2" t="s">
        <v>6</v>
      </c>
    </row>
    <row r="94" spans="1:8" ht="18">
      <c r="A94" s="5"/>
      <c r="B94" s="5"/>
      <c r="C94" s="2" t="s">
        <v>127</v>
      </c>
      <c r="D94" s="2" t="s">
        <v>128</v>
      </c>
      <c r="E94" s="2"/>
      <c r="F94" s="2"/>
      <c r="G94" s="2">
        <f t="shared" si="2"/>
        <v>0</v>
      </c>
      <c r="H94" s="2" t="s">
        <v>6</v>
      </c>
    </row>
    <row r="95" spans="1:8" ht="18">
      <c r="A95" s="5"/>
      <c r="B95" s="5"/>
      <c r="C95" s="2" t="s">
        <v>129</v>
      </c>
      <c r="D95" s="2" t="s">
        <v>130</v>
      </c>
      <c r="E95" s="2"/>
      <c r="F95" s="2"/>
      <c r="G95" s="2">
        <f t="shared" si="2"/>
        <v>0</v>
      </c>
      <c r="H95" s="2" t="s">
        <v>6</v>
      </c>
    </row>
    <row r="96" spans="1:8" ht="18">
      <c r="A96" s="5"/>
      <c r="B96" s="5"/>
      <c r="C96" s="2" t="s">
        <v>47</v>
      </c>
      <c r="D96" s="2" t="s">
        <v>131</v>
      </c>
      <c r="E96" s="2"/>
      <c r="F96" s="2"/>
      <c r="G96" s="2">
        <f t="shared" si="2"/>
        <v>0</v>
      </c>
      <c r="H96" s="2" t="s">
        <v>6</v>
      </c>
    </row>
    <row r="97" spans="1:8" ht="18">
      <c r="A97" s="5"/>
      <c r="B97" s="5"/>
      <c r="C97" s="2" t="s">
        <v>34</v>
      </c>
      <c r="D97" s="2" t="s">
        <v>132</v>
      </c>
      <c r="E97" s="2"/>
      <c r="F97" s="2"/>
      <c r="G97" s="2">
        <f t="shared" si="2"/>
        <v>0</v>
      </c>
      <c r="H97" s="2" t="s">
        <v>6</v>
      </c>
    </row>
    <row r="98" spans="1:8" ht="18">
      <c r="A98" s="5"/>
      <c r="B98" s="6"/>
      <c r="C98" s="2" t="s">
        <v>133</v>
      </c>
      <c r="D98" s="2" t="s">
        <v>134</v>
      </c>
      <c r="E98" s="2"/>
      <c r="F98" s="2"/>
      <c r="G98" s="2">
        <f t="shared" si="2"/>
        <v>0</v>
      </c>
      <c r="H98" s="2" t="s">
        <v>6</v>
      </c>
    </row>
    <row r="99" spans="1:8" ht="18">
      <c r="A99" s="5"/>
      <c r="B99" s="4" t="s">
        <v>135</v>
      </c>
      <c r="C99" s="2" t="s">
        <v>136</v>
      </c>
      <c r="D99" s="2" t="s">
        <v>137</v>
      </c>
      <c r="E99" s="2"/>
      <c r="F99" s="2"/>
      <c r="G99" s="2">
        <f t="shared" si="2"/>
        <v>0</v>
      </c>
      <c r="H99" s="2" t="s">
        <v>6</v>
      </c>
    </row>
    <row r="100" spans="1:8" ht="18">
      <c r="A100" s="5"/>
      <c r="B100" s="5"/>
      <c r="C100" s="2" t="s">
        <v>138</v>
      </c>
      <c r="D100" s="2" t="s">
        <v>139</v>
      </c>
      <c r="E100" s="2"/>
      <c r="F100" s="2"/>
      <c r="G100" s="2">
        <f t="shared" si="2"/>
        <v>0</v>
      </c>
      <c r="H100" s="2" t="s">
        <v>6</v>
      </c>
    </row>
    <row r="101" spans="1:8" ht="18">
      <c r="A101" s="5"/>
      <c r="B101" s="5"/>
      <c r="C101" s="2" t="s">
        <v>140</v>
      </c>
      <c r="D101" s="2" t="s">
        <v>141</v>
      </c>
      <c r="E101" s="2"/>
      <c r="F101" s="2"/>
      <c r="G101" s="2">
        <f t="shared" si="2"/>
        <v>0</v>
      </c>
      <c r="H101" s="2" t="s">
        <v>6</v>
      </c>
    </row>
    <row r="102" spans="1:8" ht="18">
      <c r="A102" s="6"/>
      <c r="B102" s="6"/>
      <c r="C102" s="2" t="s">
        <v>142</v>
      </c>
      <c r="D102" s="2" t="s">
        <v>143</v>
      </c>
      <c r="E102" s="2"/>
      <c r="F102" s="2"/>
      <c r="G102" s="2">
        <f t="shared" si="2"/>
        <v>0</v>
      </c>
      <c r="H102" s="2" t="s">
        <v>6</v>
      </c>
    </row>
    <row r="103" spans="1:8" ht="18">
      <c r="A103" s="4" t="s">
        <v>297</v>
      </c>
      <c r="B103" s="4" t="s">
        <v>298</v>
      </c>
      <c r="C103" s="2" t="s">
        <v>178</v>
      </c>
      <c r="D103" s="2" t="s">
        <v>179</v>
      </c>
      <c r="E103" s="2"/>
      <c r="F103" s="2"/>
      <c r="G103" s="2">
        <f t="shared" ref="G103:G123" si="3">SUM(E103:F103)</f>
        <v>0</v>
      </c>
      <c r="H103" s="2" t="s">
        <v>6</v>
      </c>
    </row>
    <row r="104" spans="1:8" ht="18">
      <c r="A104" s="5"/>
      <c r="B104" s="5"/>
      <c r="C104" s="2" t="s">
        <v>180</v>
      </c>
      <c r="D104" s="2" t="s">
        <v>181</v>
      </c>
      <c r="E104" s="2"/>
      <c r="F104" s="2"/>
      <c r="G104" s="2">
        <f t="shared" si="3"/>
        <v>0</v>
      </c>
      <c r="H104" s="2" t="s">
        <v>6</v>
      </c>
    </row>
    <row r="105" spans="1:8" ht="18">
      <c r="A105" s="5"/>
      <c r="B105" s="5"/>
      <c r="C105" s="2" t="s">
        <v>182</v>
      </c>
      <c r="D105" s="2" t="s">
        <v>183</v>
      </c>
      <c r="E105" s="2"/>
      <c r="F105" s="2"/>
      <c r="G105" s="2">
        <f t="shared" si="3"/>
        <v>0</v>
      </c>
      <c r="H105" s="2" t="s">
        <v>6</v>
      </c>
    </row>
    <row r="106" spans="1:8" ht="18">
      <c r="A106" s="5"/>
      <c r="B106" s="5"/>
      <c r="C106" s="2" t="s">
        <v>184</v>
      </c>
      <c r="D106" s="2" t="s">
        <v>185</v>
      </c>
      <c r="E106" s="2"/>
      <c r="F106" s="2"/>
      <c r="G106" s="2">
        <f t="shared" si="3"/>
        <v>0</v>
      </c>
      <c r="H106" s="2" t="s">
        <v>6</v>
      </c>
    </row>
    <row r="107" spans="1:8" ht="18">
      <c r="A107" s="5"/>
      <c r="B107" s="5"/>
      <c r="C107" s="2" t="s">
        <v>186</v>
      </c>
      <c r="D107" s="2" t="s">
        <v>187</v>
      </c>
      <c r="E107" s="2"/>
      <c r="F107" s="2"/>
      <c r="G107" s="2">
        <f t="shared" si="3"/>
        <v>0</v>
      </c>
      <c r="H107" s="2" t="s">
        <v>6</v>
      </c>
    </row>
    <row r="108" spans="1:8" ht="18">
      <c r="A108" s="5"/>
      <c r="B108" s="5"/>
      <c r="C108" s="2" t="s">
        <v>188</v>
      </c>
      <c r="D108" s="2" t="s">
        <v>189</v>
      </c>
      <c r="E108" s="2"/>
      <c r="F108" s="2"/>
      <c r="G108" s="2">
        <f t="shared" si="3"/>
        <v>0</v>
      </c>
      <c r="H108" s="2" t="s">
        <v>6</v>
      </c>
    </row>
    <row r="109" spans="1:8" ht="18">
      <c r="A109" s="5"/>
      <c r="B109" s="5"/>
      <c r="C109" s="2" t="s">
        <v>190</v>
      </c>
      <c r="D109" s="2" t="s">
        <v>191</v>
      </c>
      <c r="E109" s="2"/>
      <c r="F109" s="2"/>
      <c r="G109" s="2">
        <f t="shared" si="3"/>
        <v>0</v>
      </c>
      <c r="H109" s="2" t="s">
        <v>6</v>
      </c>
    </row>
    <row r="110" spans="1:8" ht="18">
      <c r="A110" s="5"/>
      <c r="B110" s="5"/>
      <c r="C110" s="2" t="s">
        <v>192</v>
      </c>
      <c r="D110" s="2" t="s">
        <v>193</v>
      </c>
      <c r="E110" s="2"/>
      <c r="F110" s="2"/>
      <c r="G110" s="2">
        <f t="shared" si="3"/>
        <v>0</v>
      </c>
      <c r="H110" s="2" t="s">
        <v>6</v>
      </c>
    </row>
    <row r="111" spans="1:8" ht="18">
      <c r="A111" s="5"/>
      <c r="B111" s="5"/>
      <c r="C111" s="2" t="s">
        <v>194</v>
      </c>
      <c r="D111" s="2" t="s">
        <v>195</v>
      </c>
      <c r="E111" s="2"/>
      <c r="F111" s="2"/>
      <c r="G111" s="2">
        <f t="shared" si="3"/>
        <v>0</v>
      </c>
      <c r="H111" s="2" t="s">
        <v>6</v>
      </c>
    </row>
    <row r="112" spans="1:8" ht="18">
      <c r="A112" s="5"/>
      <c r="B112" s="5"/>
      <c r="C112" s="2" t="s">
        <v>198</v>
      </c>
      <c r="D112" s="2" t="s">
        <v>199</v>
      </c>
      <c r="E112" s="2"/>
      <c r="F112" s="2"/>
      <c r="G112" s="2">
        <f>SUM(E112:F112)</f>
        <v>0</v>
      </c>
      <c r="H112" s="2" t="s">
        <v>6</v>
      </c>
    </row>
    <row r="113" spans="1:8" ht="18">
      <c r="A113" s="5"/>
      <c r="B113" s="5"/>
      <c r="C113" s="2" t="s">
        <v>196</v>
      </c>
      <c r="D113" s="2" t="s">
        <v>197</v>
      </c>
      <c r="E113" s="2"/>
      <c r="F113" s="2"/>
      <c r="G113" s="2">
        <f t="shared" si="3"/>
        <v>0</v>
      </c>
      <c r="H113" s="2" t="s">
        <v>6</v>
      </c>
    </row>
    <row r="114" spans="1:8" ht="18">
      <c r="A114" s="5"/>
      <c r="B114" s="5"/>
      <c r="C114" s="2" t="s">
        <v>202</v>
      </c>
      <c r="D114" s="2" t="s">
        <v>378</v>
      </c>
      <c r="E114" s="2"/>
      <c r="F114" s="2"/>
      <c r="G114" s="2">
        <f t="shared" si="3"/>
        <v>0</v>
      </c>
      <c r="H114" s="2" t="s">
        <v>6</v>
      </c>
    </row>
    <row r="115" spans="1:8" ht="18">
      <c r="A115" s="5"/>
      <c r="B115" s="5"/>
      <c r="C115" s="2" t="s">
        <v>203</v>
      </c>
      <c r="D115" s="2" t="s">
        <v>204</v>
      </c>
      <c r="E115" s="2"/>
      <c r="F115" s="2"/>
      <c r="G115" s="2">
        <f t="shared" si="3"/>
        <v>0</v>
      </c>
      <c r="H115" s="2" t="s">
        <v>6</v>
      </c>
    </row>
    <row r="116" spans="1:8" ht="18">
      <c r="A116" s="5"/>
      <c r="B116" s="5"/>
      <c r="C116" s="2" t="s">
        <v>205</v>
      </c>
      <c r="D116" s="2" t="s">
        <v>418</v>
      </c>
      <c r="E116" s="2"/>
      <c r="F116" s="2"/>
      <c r="G116" s="2">
        <f t="shared" si="3"/>
        <v>0</v>
      </c>
      <c r="H116" s="2" t="s">
        <v>6</v>
      </c>
    </row>
    <row r="117" spans="1:8" ht="18">
      <c r="A117" s="5"/>
      <c r="B117" s="6"/>
      <c r="C117" s="2" t="s">
        <v>115</v>
      </c>
      <c r="D117" s="2" t="s">
        <v>206</v>
      </c>
      <c r="E117" s="2"/>
      <c r="F117" s="2"/>
      <c r="G117" s="2">
        <f t="shared" si="3"/>
        <v>0</v>
      </c>
      <c r="H117" s="2" t="s">
        <v>6</v>
      </c>
    </row>
    <row r="118" spans="1:8" ht="18">
      <c r="A118" s="5"/>
      <c r="B118" s="4" t="s">
        <v>207</v>
      </c>
      <c r="C118" s="2" t="s">
        <v>31</v>
      </c>
      <c r="D118" s="2" t="s">
        <v>208</v>
      </c>
      <c r="E118" s="2"/>
      <c r="F118" s="2"/>
      <c r="G118" s="2">
        <f t="shared" si="3"/>
        <v>0</v>
      </c>
      <c r="H118" s="2" t="s">
        <v>6</v>
      </c>
    </row>
    <row r="119" spans="1:8" ht="18">
      <c r="A119" s="5"/>
      <c r="B119" s="5"/>
      <c r="C119" s="2" t="s">
        <v>93</v>
      </c>
      <c r="D119" s="2" t="s">
        <v>209</v>
      </c>
      <c r="E119" s="2"/>
      <c r="F119" s="2"/>
      <c r="G119" s="2">
        <f t="shared" si="3"/>
        <v>0</v>
      </c>
      <c r="H119" s="2" t="s">
        <v>6</v>
      </c>
    </row>
    <row r="120" spans="1:8" ht="18">
      <c r="A120" s="5"/>
      <c r="B120" s="5"/>
      <c r="C120" s="2" t="s">
        <v>381</v>
      </c>
      <c r="D120" s="2" t="s">
        <v>169</v>
      </c>
      <c r="E120" s="2"/>
      <c r="F120" s="2"/>
      <c r="G120" s="2">
        <f t="shared" si="3"/>
        <v>0</v>
      </c>
      <c r="H120" s="2" t="s">
        <v>6</v>
      </c>
    </row>
    <row r="121" spans="1:8" ht="18">
      <c r="A121" s="5"/>
      <c r="B121" s="5"/>
      <c r="C121" s="2" t="s">
        <v>210</v>
      </c>
      <c r="D121" s="2" t="s">
        <v>211</v>
      </c>
      <c r="E121" s="2"/>
      <c r="F121" s="2"/>
      <c r="G121" s="2">
        <f t="shared" si="3"/>
        <v>0</v>
      </c>
      <c r="H121" s="2" t="s">
        <v>6</v>
      </c>
    </row>
    <row r="122" spans="1:8" ht="18">
      <c r="A122" s="5"/>
      <c r="B122" s="5"/>
      <c r="C122" s="2" t="s">
        <v>196</v>
      </c>
      <c r="D122" s="2" t="s">
        <v>197</v>
      </c>
      <c r="E122" s="2"/>
      <c r="F122" s="2"/>
      <c r="G122" s="2">
        <f t="shared" si="3"/>
        <v>0</v>
      </c>
      <c r="H122" s="2" t="s">
        <v>6</v>
      </c>
    </row>
    <row r="123" spans="1:8" ht="18">
      <c r="A123" s="5"/>
      <c r="B123" s="5"/>
      <c r="C123" s="2" t="s">
        <v>97</v>
      </c>
      <c r="D123" s="2" t="s">
        <v>98</v>
      </c>
      <c r="E123" s="2"/>
      <c r="F123" s="2"/>
      <c r="G123" s="2">
        <f t="shared" si="3"/>
        <v>0</v>
      </c>
      <c r="H123" s="2" t="s">
        <v>6</v>
      </c>
    </row>
    <row r="124" spans="1:8" ht="18">
      <c r="A124" s="5"/>
      <c r="B124" s="5"/>
      <c r="C124" s="2" t="s">
        <v>382</v>
      </c>
      <c r="D124" s="2" t="s">
        <v>383</v>
      </c>
      <c r="E124" s="2"/>
      <c r="F124" s="2"/>
      <c r="G124" s="2"/>
      <c r="H124" s="2"/>
    </row>
    <row r="125" spans="1:8" ht="18">
      <c r="A125" s="5"/>
      <c r="B125" s="5"/>
      <c r="C125" s="2" t="s">
        <v>379</v>
      </c>
      <c r="D125" s="2" t="s">
        <v>414</v>
      </c>
      <c r="E125" s="2"/>
      <c r="F125" s="2"/>
      <c r="G125" s="2">
        <f>SUM(E125:F125)</f>
        <v>0</v>
      </c>
      <c r="H125" s="2" t="s">
        <v>6</v>
      </c>
    </row>
    <row r="126" spans="1:8" ht="18">
      <c r="A126" s="5"/>
      <c r="B126" s="5"/>
      <c r="C126" s="2" t="s">
        <v>200</v>
      </c>
      <c r="D126" s="2" t="s">
        <v>415</v>
      </c>
      <c r="E126" s="2"/>
      <c r="F126" s="2"/>
      <c r="G126" s="2">
        <f>SUM(E126:F126)</f>
        <v>0</v>
      </c>
      <c r="H126" s="2" t="s">
        <v>6</v>
      </c>
    </row>
    <row r="127" spans="1:8" ht="18">
      <c r="A127" s="6"/>
      <c r="B127" s="6"/>
      <c r="C127" s="2" t="s">
        <v>201</v>
      </c>
      <c r="D127" s="2" t="s">
        <v>380</v>
      </c>
      <c r="E127" s="2"/>
      <c r="F127" s="2"/>
      <c r="G127" s="2">
        <f>SUM(E127:F127)</f>
        <v>0</v>
      </c>
      <c r="H127" s="2" t="s">
        <v>6</v>
      </c>
    </row>
    <row r="128" spans="1:8" ht="18">
      <c r="A128" s="4" t="s">
        <v>384</v>
      </c>
      <c r="B128" s="4" t="s">
        <v>144</v>
      </c>
      <c r="C128" s="2" t="s">
        <v>145</v>
      </c>
      <c r="D128" s="2" t="s">
        <v>146</v>
      </c>
      <c r="E128" s="2"/>
      <c r="F128" s="2"/>
      <c r="G128" s="2">
        <f>SUM(E128:F128)</f>
        <v>0</v>
      </c>
      <c r="H128" s="2" t="s">
        <v>6</v>
      </c>
    </row>
    <row r="129" spans="1:8" ht="18">
      <c r="A129" s="5"/>
      <c r="B129" s="5"/>
      <c r="C129" s="2" t="s">
        <v>147</v>
      </c>
      <c r="D129" s="2" t="s">
        <v>148</v>
      </c>
      <c r="E129" s="2"/>
      <c r="F129" s="2"/>
      <c r="G129" s="2">
        <f>SUM(E129:F129)</f>
        <v>0</v>
      </c>
      <c r="H129" s="2" t="s">
        <v>6</v>
      </c>
    </row>
    <row r="130" spans="1:8" ht="18">
      <c r="A130" s="5"/>
      <c r="B130" s="5"/>
      <c r="C130" s="2" t="s">
        <v>149</v>
      </c>
      <c r="D130" s="2" t="s">
        <v>385</v>
      </c>
      <c r="E130" s="2"/>
      <c r="F130" s="2"/>
      <c r="G130" s="2">
        <f>SUM(E130:F130)</f>
        <v>0</v>
      </c>
      <c r="H130" s="2" t="s">
        <v>6</v>
      </c>
    </row>
    <row r="131" spans="1:8" ht="18">
      <c r="A131" s="5"/>
      <c r="B131" s="5"/>
      <c r="C131" s="2" t="s">
        <v>410</v>
      </c>
      <c r="D131" s="2" t="s">
        <v>411</v>
      </c>
      <c r="E131" s="2"/>
      <c r="F131" s="2"/>
      <c r="G131" s="2"/>
      <c r="H131" s="2"/>
    </row>
    <row r="132" spans="1:8" ht="18">
      <c r="A132" s="5"/>
      <c r="B132" s="5"/>
      <c r="C132" s="2" t="s">
        <v>387</v>
      </c>
      <c r="D132" s="2" t="s">
        <v>386</v>
      </c>
      <c r="E132" s="2"/>
      <c r="F132" s="2"/>
      <c r="G132" s="2">
        <f>SUM(E132:F132)</f>
        <v>0</v>
      </c>
      <c r="H132" s="2" t="s">
        <v>6</v>
      </c>
    </row>
    <row r="133" spans="1:8" ht="18">
      <c r="A133" s="5"/>
      <c r="B133" s="5"/>
      <c r="C133" s="2" t="s">
        <v>150</v>
      </c>
      <c r="D133" s="2" t="s">
        <v>151</v>
      </c>
      <c r="E133" s="2"/>
      <c r="F133" s="2"/>
      <c r="G133" s="2">
        <f>SUM(E133:F133)</f>
        <v>0</v>
      </c>
      <c r="H133" s="2" t="s">
        <v>6</v>
      </c>
    </row>
    <row r="134" spans="1:8" ht="18">
      <c r="A134" s="5"/>
      <c r="B134" s="5"/>
      <c r="C134" s="2" t="s">
        <v>152</v>
      </c>
      <c r="D134" s="2" t="s">
        <v>153</v>
      </c>
      <c r="E134" s="2"/>
      <c r="F134" s="2"/>
      <c r="G134" s="2">
        <f>SUM(E134:F134)</f>
        <v>0</v>
      </c>
      <c r="H134" s="2" t="s">
        <v>6</v>
      </c>
    </row>
    <row r="135" spans="1:8" ht="18">
      <c r="A135" s="5"/>
      <c r="B135" s="5"/>
      <c r="C135" s="2" t="s">
        <v>154</v>
      </c>
      <c r="D135" s="2" t="s">
        <v>155</v>
      </c>
      <c r="E135" s="2"/>
      <c r="F135" s="2"/>
      <c r="G135" s="2">
        <f>SUM(E135:F135)</f>
        <v>0</v>
      </c>
      <c r="H135" s="2" t="s">
        <v>6</v>
      </c>
    </row>
    <row r="136" spans="1:8" ht="18">
      <c r="A136" s="5"/>
      <c r="B136" s="5"/>
      <c r="C136" s="2" t="s">
        <v>156</v>
      </c>
      <c r="D136" s="2" t="s">
        <v>388</v>
      </c>
      <c r="E136" s="2"/>
      <c r="F136" s="2"/>
      <c r="G136" s="2">
        <f>SUM(E136:F136)</f>
        <v>0</v>
      </c>
      <c r="H136" s="2" t="s">
        <v>6</v>
      </c>
    </row>
    <row r="137" spans="1:8" ht="18">
      <c r="A137" s="5"/>
      <c r="B137" s="6"/>
      <c r="C137" s="2" t="s">
        <v>122</v>
      </c>
      <c r="D137" s="2" t="s">
        <v>292</v>
      </c>
      <c r="E137" s="2"/>
      <c r="F137" s="2"/>
      <c r="G137" s="2">
        <f>SUM(E137:F137)</f>
        <v>0</v>
      </c>
      <c r="H137" s="2" t="s">
        <v>6</v>
      </c>
    </row>
    <row r="138" spans="1:8" ht="18">
      <c r="A138" s="5"/>
      <c r="B138" s="4" t="s">
        <v>157</v>
      </c>
      <c r="C138" s="2" t="s">
        <v>158</v>
      </c>
      <c r="D138" s="2" t="s">
        <v>159</v>
      </c>
      <c r="E138" s="2"/>
      <c r="F138" s="2"/>
      <c r="G138" s="2">
        <f>SUM(E138:F138)</f>
        <v>0</v>
      </c>
      <c r="H138" s="2" t="s">
        <v>6</v>
      </c>
    </row>
    <row r="139" spans="1:8" ht="18">
      <c r="A139" s="5"/>
      <c r="B139" s="5"/>
      <c r="C139" s="2" t="s">
        <v>160</v>
      </c>
      <c r="D139" s="2" t="s">
        <v>161</v>
      </c>
      <c r="E139" s="2"/>
      <c r="F139" s="2"/>
      <c r="G139" s="2">
        <f>SUM(E139:F139)</f>
        <v>0</v>
      </c>
      <c r="H139" s="2" t="s">
        <v>6</v>
      </c>
    </row>
    <row r="140" spans="1:8" ht="18">
      <c r="A140" s="5"/>
      <c r="B140" s="5"/>
      <c r="C140" s="2" t="s">
        <v>162</v>
      </c>
      <c r="D140" s="2" t="s">
        <v>163</v>
      </c>
      <c r="E140" s="2"/>
      <c r="F140" s="2"/>
      <c r="G140" s="2">
        <f>SUM(E140:F140)</f>
        <v>0</v>
      </c>
      <c r="H140" s="2" t="s">
        <v>6</v>
      </c>
    </row>
    <row r="141" spans="1:8" ht="18">
      <c r="A141" s="5"/>
      <c r="B141" s="5"/>
      <c r="C141" s="2" t="s">
        <v>164</v>
      </c>
      <c r="D141" s="2" t="s">
        <v>389</v>
      </c>
      <c r="E141" s="2"/>
      <c r="F141" s="2"/>
      <c r="G141" s="2">
        <f>SUM(E141:F141)</f>
        <v>0</v>
      </c>
      <c r="H141" s="2" t="s">
        <v>6</v>
      </c>
    </row>
    <row r="142" spans="1:8" ht="18">
      <c r="A142" s="5"/>
      <c r="B142" s="5"/>
      <c r="C142" s="2" t="s">
        <v>390</v>
      </c>
      <c r="D142" s="2" t="s">
        <v>391</v>
      </c>
      <c r="E142" s="2"/>
      <c r="F142" s="2"/>
      <c r="G142" s="2"/>
      <c r="H142" s="2"/>
    </row>
    <row r="143" spans="1:8" ht="18">
      <c r="A143" s="6"/>
      <c r="B143" s="6"/>
      <c r="C143" s="2" t="s">
        <v>165</v>
      </c>
      <c r="D143" s="2" t="s">
        <v>166</v>
      </c>
      <c r="E143" s="2"/>
      <c r="F143" s="2"/>
      <c r="G143" s="2">
        <f>SUM(E143:F143)</f>
        <v>0</v>
      </c>
      <c r="H143" s="2" t="s">
        <v>6</v>
      </c>
    </row>
    <row r="144" spans="1:8" ht="18">
      <c r="A144" s="4" t="s">
        <v>296</v>
      </c>
      <c r="B144" s="4" t="s">
        <v>299</v>
      </c>
      <c r="C144" s="2" t="s">
        <v>93</v>
      </c>
      <c r="D144" s="2" t="s">
        <v>212</v>
      </c>
      <c r="E144" s="2"/>
      <c r="F144" s="2"/>
      <c r="G144" s="2">
        <f t="shared" si="2"/>
        <v>0</v>
      </c>
      <c r="H144" s="2" t="s">
        <v>6</v>
      </c>
    </row>
    <row r="145" spans="1:8" ht="18">
      <c r="A145" s="5"/>
      <c r="B145" s="5"/>
      <c r="C145" s="2" t="s">
        <v>203</v>
      </c>
      <c r="D145" s="2" t="s">
        <v>204</v>
      </c>
      <c r="E145" s="2"/>
      <c r="F145" s="2"/>
      <c r="G145" s="2">
        <f t="shared" si="2"/>
        <v>0</v>
      </c>
      <c r="H145" s="2" t="s">
        <v>6</v>
      </c>
    </row>
    <row r="146" spans="1:8" ht="18">
      <c r="A146" s="5"/>
      <c r="B146" s="5"/>
      <c r="C146" s="2" t="s">
        <v>140</v>
      </c>
      <c r="D146" s="2" t="s">
        <v>169</v>
      </c>
      <c r="E146" s="2"/>
      <c r="F146" s="2"/>
      <c r="G146" s="2">
        <f t="shared" si="2"/>
        <v>0</v>
      </c>
      <c r="H146" s="2" t="s">
        <v>6</v>
      </c>
    </row>
    <row r="147" spans="1:8" ht="18">
      <c r="A147" s="5"/>
      <c r="B147" s="5"/>
      <c r="C147" s="2" t="s">
        <v>184</v>
      </c>
      <c r="D147" s="2" t="s">
        <v>392</v>
      </c>
      <c r="E147" s="2"/>
      <c r="F147" s="2"/>
      <c r="G147" s="2">
        <f t="shared" si="2"/>
        <v>0</v>
      </c>
      <c r="H147" s="2" t="s">
        <v>6</v>
      </c>
    </row>
    <row r="148" spans="1:8" ht="18">
      <c r="A148" s="5"/>
      <c r="B148" s="5"/>
      <c r="C148" s="2" t="s">
        <v>186</v>
      </c>
      <c r="D148" s="2" t="s">
        <v>393</v>
      </c>
      <c r="E148" s="2"/>
      <c r="F148" s="2"/>
      <c r="G148" s="2">
        <f t="shared" si="2"/>
        <v>0</v>
      </c>
      <c r="H148" s="2" t="s">
        <v>6</v>
      </c>
    </row>
    <row r="149" spans="1:8" ht="18">
      <c r="A149" s="5"/>
      <c r="B149" s="5"/>
      <c r="C149" s="2" t="s">
        <v>188</v>
      </c>
      <c r="D149" s="2" t="s">
        <v>394</v>
      </c>
      <c r="E149" s="2"/>
      <c r="F149" s="2"/>
      <c r="G149" s="2">
        <f t="shared" si="2"/>
        <v>0</v>
      </c>
      <c r="H149" s="2" t="s">
        <v>6</v>
      </c>
    </row>
    <row r="150" spans="1:8" ht="18">
      <c r="A150" s="5"/>
      <c r="B150" s="5"/>
      <c r="C150" s="2" t="s">
        <v>190</v>
      </c>
      <c r="D150" s="2" t="s">
        <v>395</v>
      </c>
      <c r="E150" s="2"/>
      <c r="F150" s="2"/>
      <c r="G150" s="2">
        <f t="shared" si="2"/>
        <v>0</v>
      </c>
      <c r="H150" s="2" t="s">
        <v>6</v>
      </c>
    </row>
    <row r="151" spans="1:8" ht="18">
      <c r="A151" s="5"/>
      <c r="B151" s="5"/>
      <c r="C151" s="2" t="s">
        <v>192</v>
      </c>
      <c r="D151" s="2" t="s">
        <v>396</v>
      </c>
      <c r="E151" s="2"/>
      <c r="F151" s="2"/>
      <c r="G151" s="2">
        <f t="shared" si="2"/>
        <v>0</v>
      </c>
      <c r="H151" s="2" t="s">
        <v>6</v>
      </c>
    </row>
    <row r="152" spans="1:8" ht="18">
      <c r="A152" s="5"/>
      <c r="B152" s="5"/>
      <c r="C152" s="2" t="s">
        <v>402</v>
      </c>
      <c r="D152" s="2" t="s">
        <v>405</v>
      </c>
      <c r="E152" s="2"/>
      <c r="F152" s="2"/>
      <c r="G152" s="2"/>
      <c r="H152" s="2"/>
    </row>
    <row r="153" spans="1:8" ht="18">
      <c r="A153" s="5"/>
      <c r="B153" s="5"/>
      <c r="C153" s="2" t="s">
        <v>403</v>
      </c>
      <c r="D153" s="2" t="s">
        <v>405</v>
      </c>
      <c r="E153" s="2"/>
      <c r="F153" s="2"/>
      <c r="G153" s="2"/>
      <c r="H153" s="2"/>
    </row>
    <row r="154" spans="1:8" ht="18">
      <c r="A154" s="5"/>
      <c r="B154" s="5"/>
      <c r="C154" s="2" t="s">
        <v>404</v>
      </c>
      <c r="D154" s="2" t="s">
        <v>405</v>
      </c>
      <c r="E154" s="2"/>
      <c r="F154" s="2"/>
      <c r="G154" s="2"/>
      <c r="H154" s="2"/>
    </row>
    <row r="155" spans="1:8" ht="18">
      <c r="A155" s="5"/>
      <c r="B155" s="5"/>
      <c r="C155" s="2" t="s">
        <v>205</v>
      </c>
      <c r="D155" s="2" t="s">
        <v>418</v>
      </c>
      <c r="E155" s="2"/>
      <c r="F155" s="2"/>
      <c r="G155" s="2">
        <f t="shared" si="2"/>
        <v>0</v>
      </c>
      <c r="H155" s="2" t="s">
        <v>6</v>
      </c>
    </row>
    <row r="156" spans="1:8" ht="18">
      <c r="A156" s="5"/>
      <c r="B156" s="6"/>
      <c r="C156" s="2" t="s">
        <v>31</v>
      </c>
      <c r="D156" s="2" t="s">
        <v>213</v>
      </c>
      <c r="E156" s="2"/>
      <c r="F156" s="2"/>
      <c r="G156" s="2">
        <f t="shared" si="2"/>
        <v>0</v>
      </c>
      <c r="H156" s="2" t="s">
        <v>6</v>
      </c>
    </row>
    <row r="157" spans="1:8" ht="18">
      <c r="A157" s="5"/>
      <c r="B157" s="4" t="s">
        <v>214</v>
      </c>
      <c r="C157" s="2" t="s">
        <v>215</v>
      </c>
      <c r="D157" s="2" t="s">
        <v>397</v>
      </c>
      <c r="E157" s="2"/>
      <c r="F157" s="2"/>
      <c r="G157" s="2">
        <f t="shared" si="2"/>
        <v>0</v>
      </c>
      <c r="H157" s="2" t="s">
        <v>6</v>
      </c>
    </row>
    <row r="158" spans="1:8" ht="18">
      <c r="A158" s="5"/>
      <c r="B158" s="5"/>
      <c r="C158" s="2" t="s">
        <v>216</v>
      </c>
      <c r="D158" s="2" t="s">
        <v>217</v>
      </c>
      <c r="E158" s="2"/>
      <c r="F158" s="2"/>
      <c r="G158" s="2">
        <f t="shared" si="2"/>
        <v>0</v>
      </c>
      <c r="H158" s="2" t="s">
        <v>6</v>
      </c>
    </row>
    <row r="159" spans="1:8" ht="18">
      <c r="A159" s="5"/>
      <c r="B159" s="5"/>
      <c r="C159" s="2" t="s">
        <v>218</v>
      </c>
      <c r="D159" s="2" t="s">
        <v>219</v>
      </c>
      <c r="E159" s="2"/>
      <c r="F159" s="2"/>
      <c r="G159" s="2">
        <f t="shared" si="2"/>
        <v>0</v>
      </c>
      <c r="H159" s="2" t="s">
        <v>6</v>
      </c>
    </row>
    <row r="160" spans="1:8" ht="18">
      <c r="A160" s="5"/>
      <c r="B160" s="5"/>
      <c r="C160" s="2" t="s">
        <v>220</v>
      </c>
      <c r="D160" s="2" t="s">
        <v>221</v>
      </c>
      <c r="E160" s="2"/>
      <c r="F160" s="2"/>
      <c r="G160" s="2">
        <f t="shared" si="2"/>
        <v>0</v>
      </c>
      <c r="H160" s="2" t="s">
        <v>6</v>
      </c>
    </row>
    <row r="161" spans="1:8" ht="18">
      <c r="A161" s="5"/>
      <c r="B161" s="5"/>
      <c r="C161" s="2" t="s">
        <v>222</v>
      </c>
      <c r="D161" s="2" t="s">
        <v>223</v>
      </c>
      <c r="E161" s="2"/>
      <c r="F161" s="2"/>
      <c r="G161" s="2">
        <f t="shared" si="2"/>
        <v>0</v>
      </c>
      <c r="H161" s="2" t="s">
        <v>6</v>
      </c>
    </row>
    <row r="162" spans="1:8" ht="18">
      <c r="A162" s="5"/>
      <c r="B162" s="5"/>
      <c r="C162" s="2" t="s">
        <v>100</v>
      </c>
      <c r="D162" s="2" t="s">
        <v>224</v>
      </c>
      <c r="E162" s="2"/>
      <c r="F162" s="2"/>
      <c r="G162" s="2">
        <f t="shared" si="2"/>
        <v>0</v>
      </c>
      <c r="H162" s="2" t="s">
        <v>6</v>
      </c>
    </row>
    <row r="163" spans="1:8" ht="18">
      <c r="A163" s="5"/>
      <c r="B163" s="5"/>
      <c r="C163" s="2" t="s">
        <v>225</v>
      </c>
      <c r="D163" s="2" t="s">
        <v>226</v>
      </c>
      <c r="E163" s="2"/>
      <c r="F163" s="2"/>
      <c r="G163" s="2">
        <f t="shared" si="2"/>
        <v>0</v>
      </c>
      <c r="H163" s="2" t="s">
        <v>6</v>
      </c>
    </row>
    <row r="164" spans="1:8" ht="18">
      <c r="A164" s="5"/>
      <c r="B164" s="6"/>
      <c r="C164" s="2" t="s">
        <v>227</v>
      </c>
      <c r="D164" s="2" t="s">
        <v>228</v>
      </c>
      <c r="E164" s="2"/>
      <c r="F164" s="2"/>
      <c r="G164" s="2">
        <f t="shared" si="2"/>
        <v>0</v>
      </c>
      <c r="H164" s="2" t="s">
        <v>6</v>
      </c>
    </row>
    <row r="165" spans="1:8" ht="18">
      <c r="A165" s="5"/>
      <c r="B165" s="4" t="s">
        <v>406</v>
      </c>
      <c r="C165" s="2" t="s">
        <v>407</v>
      </c>
      <c r="D165" s="2" t="s">
        <v>419</v>
      </c>
      <c r="E165" s="2"/>
      <c r="F165" s="2"/>
      <c r="G165" s="2">
        <f>SUM(E165:F165)</f>
        <v>0</v>
      </c>
      <c r="H165" s="2" t="s">
        <v>6</v>
      </c>
    </row>
    <row r="166" spans="1:8" ht="18">
      <c r="A166" s="5"/>
      <c r="B166" s="5"/>
      <c r="C166" s="2" t="s">
        <v>408</v>
      </c>
      <c r="D166" s="2" t="s">
        <v>416</v>
      </c>
      <c r="E166" s="2"/>
      <c r="F166" s="2"/>
      <c r="G166" s="2">
        <f>SUM(E166:F166)</f>
        <v>0</v>
      </c>
      <c r="H166" s="2" t="s">
        <v>6</v>
      </c>
    </row>
    <row r="167" spans="1:8" ht="18">
      <c r="A167" s="6"/>
      <c r="B167" s="6"/>
      <c r="C167" s="2" t="s">
        <v>409</v>
      </c>
      <c r="D167" s="2" t="s">
        <v>417</v>
      </c>
      <c r="E167" s="2"/>
      <c r="F167" s="2"/>
      <c r="G167" s="2">
        <f>SUM(E167:F167)</f>
        <v>0</v>
      </c>
      <c r="H167" s="2" t="s">
        <v>6</v>
      </c>
    </row>
    <row r="168" spans="1:8" ht="18">
      <c r="A168" s="4" t="s">
        <v>300</v>
      </c>
      <c r="B168" s="4" t="s">
        <v>301</v>
      </c>
      <c r="C168" s="2" t="s">
        <v>31</v>
      </c>
      <c r="D168" s="2" t="s">
        <v>167</v>
      </c>
      <c r="E168" s="2"/>
      <c r="F168" s="2"/>
      <c r="G168" s="2">
        <f t="shared" si="2"/>
        <v>0</v>
      </c>
      <c r="H168" s="2" t="s">
        <v>6</v>
      </c>
    </row>
    <row r="169" spans="1:8" ht="18">
      <c r="A169" s="5"/>
      <c r="B169" s="5"/>
      <c r="C169" s="2" t="s">
        <v>93</v>
      </c>
      <c r="D169" s="2" t="s">
        <v>168</v>
      </c>
      <c r="E169" s="2"/>
      <c r="F169" s="2"/>
      <c r="G169" s="2">
        <f t="shared" si="2"/>
        <v>0</v>
      </c>
      <c r="H169" s="2" t="s">
        <v>6</v>
      </c>
    </row>
    <row r="170" spans="1:8" ht="18">
      <c r="A170" s="5"/>
      <c r="B170" s="5"/>
      <c r="C170" s="2" t="s">
        <v>140</v>
      </c>
      <c r="D170" s="2" t="s">
        <v>169</v>
      </c>
      <c r="E170" s="2"/>
      <c r="F170" s="2"/>
      <c r="G170" s="2">
        <f t="shared" si="2"/>
        <v>0</v>
      </c>
      <c r="H170" s="2" t="s">
        <v>6</v>
      </c>
    </row>
    <row r="171" spans="1:8" ht="18">
      <c r="A171" s="5"/>
      <c r="B171" s="5"/>
      <c r="C171" s="2" t="s">
        <v>170</v>
      </c>
      <c r="D171" s="2" t="s">
        <v>171</v>
      </c>
      <c r="E171" s="2"/>
      <c r="F171" s="2"/>
      <c r="G171" s="2">
        <f t="shared" si="2"/>
        <v>0</v>
      </c>
      <c r="H171" s="2" t="s">
        <v>6</v>
      </c>
    </row>
    <row r="172" spans="1:8" ht="18">
      <c r="A172" s="5"/>
      <c r="B172" s="5"/>
      <c r="C172" s="2" t="s">
        <v>172</v>
      </c>
      <c r="D172" s="2" t="s">
        <v>173</v>
      </c>
      <c r="E172" s="2"/>
      <c r="F172" s="2"/>
      <c r="G172" s="2">
        <f t="shared" si="2"/>
        <v>0</v>
      </c>
      <c r="H172" s="2" t="s">
        <v>6</v>
      </c>
    </row>
    <row r="173" spans="1:8" ht="18">
      <c r="A173" s="5"/>
      <c r="B173" s="5"/>
      <c r="C173" s="2" t="s">
        <v>174</v>
      </c>
      <c r="D173" s="2" t="s">
        <v>175</v>
      </c>
      <c r="E173" s="2"/>
      <c r="F173" s="2"/>
      <c r="G173" s="2">
        <f t="shared" si="2"/>
        <v>0</v>
      </c>
      <c r="H173" s="2" t="s">
        <v>6</v>
      </c>
    </row>
    <row r="174" spans="1:8" ht="18">
      <c r="A174" s="5"/>
      <c r="B174" s="5"/>
      <c r="C174" s="2" t="s">
        <v>176</v>
      </c>
      <c r="D174" s="2" t="s">
        <v>177</v>
      </c>
      <c r="E174" s="2"/>
      <c r="F174" s="2"/>
      <c r="G174" s="2">
        <f t="shared" si="2"/>
        <v>0</v>
      </c>
      <c r="H174" s="2" t="s">
        <v>6</v>
      </c>
    </row>
    <row r="175" spans="1:8" ht="18">
      <c r="A175" s="5"/>
      <c r="B175" s="5"/>
      <c r="C175" s="2" t="s">
        <v>379</v>
      </c>
      <c r="D175" s="2" t="s">
        <v>413</v>
      </c>
      <c r="E175" s="2"/>
      <c r="F175" s="2"/>
      <c r="G175" s="2">
        <f>SUM(E175:F175)</f>
        <v>0</v>
      </c>
      <c r="H175" s="2" t="s">
        <v>6</v>
      </c>
    </row>
    <row r="176" spans="1:8" ht="18">
      <c r="A176" s="5"/>
      <c r="B176" s="5"/>
      <c r="C176" s="2" t="s">
        <v>200</v>
      </c>
      <c r="D176" s="2" t="s">
        <v>412</v>
      </c>
      <c r="E176" s="2"/>
      <c r="F176" s="2"/>
      <c r="G176" s="2">
        <f>SUM(E176:F176)</f>
        <v>0</v>
      </c>
      <c r="H176" s="2" t="s">
        <v>6</v>
      </c>
    </row>
    <row r="177" spans="1:8" ht="18">
      <c r="A177" s="6"/>
      <c r="B177" s="6"/>
      <c r="C177" s="2" t="s">
        <v>201</v>
      </c>
      <c r="D177" s="2" t="s">
        <v>398</v>
      </c>
      <c r="E177" s="2"/>
      <c r="F177" s="2"/>
      <c r="G177" s="2">
        <f>SUM(E177:F177)</f>
        <v>0</v>
      </c>
      <c r="H177" s="2" t="s">
        <v>6</v>
      </c>
    </row>
    <row r="178" spans="1:8" ht="18">
      <c r="A178" s="8" t="s">
        <v>236</v>
      </c>
      <c r="B178" s="8"/>
      <c r="C178" s="8"/>
      <c r="D178" s="8"/>
      <c r="E178" s="9">
        <f>SUM(E2:E177)</f>
        <v>0</v>
      </c>
      <c r="F178" s="9">
        <f>SUM(F2:F177)</f>
        <v>0</v>
      </c>
      <c r="G178" s="9">
        <f>SUM(G2:G177)</f>
        <v>0</v>
      </c>
      <c r="H178" s="9"/>
    </row>
    <row r="179" spans="1:8">
      <c r="A179" t="s">
        <v>6</v>
      </c>
      <c r="B179" t="s">
        <v>6</v>
      </c>
      <c r="C179" t="s">
        <v>6</v>
      </c>
    </row>
  </sheetData>
  <mergeCells count="38">
    <mergeCell ref="B165:B167"/>
    <mergeCell ref="B157:B164"/>
    <mergeCell ref="B144:B156"/>
    <mergeCell ref="A144:A167"/>
    <mergeCell ref="A168:A177"/>
    <mergeCell ref="B168:B177"/>
    <mergeCell ref="A103:A127"/>
    <mergeCell ref="B118:B127"/>
    <mergeCell ref="B103:B117"/>
    <mergeCell ref="B128:B137"/>
    <mergeCell ref="B138:B143"/>
    <mergeCell ref="A128:A143"/>
    <mergeCell ref="B53:B55"/>
    <mergeCell ref="B49:B52"/>
    <mergeCell ref="B93:B98"/>
    <mergeCell ref="B99:B102"/>
    <mergeCell ref="A93:A102"/>
    <mergeCell ref="B86:B92"/>
    <mergeCell ref="A81:A92"/>
    <mergeCell ref="B81:B85"/>
    <mergeCell ref="B71:B80"/>
    <mergeCell ref="A71:A80"/>
    <mergeCell ref="A39:A48"/>
    <mergeCell ref="B25:B29"/>
    <mergeCell ref="B35:B38"/>
    <mergeCell ref="B39:B44"/>
    <mergeCell ref="B45:B48"/>
    <mergeCell ref="A178:D178"/>
    <mergeCell ref="B30:B34"/>
    <mergeCell ref="A49:A70"/>
    <mergeCell ref="B68:B70"/>
    <mergeCell ref="B56:B67"/>
    <mergeCell ref="A3:A7"/>
    <mergeCell ref="A8:A14"/>
    <mergeCell ref="A15:A38"/>
    <mergeCell ref="B15:B19"/>
    <mergeCell ref="B8:B14"/>
    <mergeCell ref="B20:B24"/>
  </mergeCells>
  <phoneticPr fontId="2"/>
  <pageMargins left="0.7" right="0.7" top="0.75" bottom="0.75" header="0.3" footer="0.3"/>
  <ignoredErrors>
    <ignoredError sqref="A1:D1 A2:C2 A3:D3 A8:C8 B4:D7 A15:D15 C14:D14 C41:D43 B20:D20 C16:D16 B25:D25 C21:D21 C18:C19 C22:C24 C35:D35 C39:C40 C47:D48 C27:C29 C26:D26 C36:D36 C44 C60:D60 C63:D66 C58:D58 B56 D56 C50:D52 B49:C49 C76:D76 C75 C90 C82:D84 B99:D99 B71:D71 A179:C179 H178 H1:H9 H56:H66 H35:H37 C57 C61:C62 C77 C79:D80 C72:D74 B81:C81 C86:D89 H71:H84 H86:H102 D91 C92:D92 B93:C93 C94:D98 C100:D102 C168:D174 H168:H174 H14:H29 H38:H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42E6-6BA5-7144-BD9A-A2B7379AC834}">
  <dimension ref="A1"/>
  <sheetViews>
    <sheetView workbookViewId="0"/>
  </sheetViews>
  <sheetFormatPr baseColWidth="10" defaultRowHeight="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A229-1C67-7F42-BE5E-99ABD523EC3F}">
  <dimension ref="B2:F9"/>
  <sheetViews>
    <sheetView showGridLines="0" workbookViewId="0"/>
  </sheetViews>
  <sheetFormatPr baseColWidth="10" defaultRowHeight="18"/>
  <cols>
    <col min="1" max="1" width="4.1640625" style="1" customWidth="1"/>
    <col min="2" max="2" width="18.1640625" style="1" bestFit="1" customWidth="1"/>
    <col min="3" max="16384" width="10.83203125" style="1"/>
  </cols>
  <sheetData>
    <row r="2" spans="2:6">
      <c r="B2" s="13" t="s">
        <v>329</v>
      </c>
      <c r="C2" s="13" t="s">
        <v>338</v>
      </c>
      <c r="D2" s="13" t="s">
        <v>343</v>
      </c>
      <c r="E2" s="13" t="s">
        <v>332</v>
      </c>
    </row>
    <row r="3" spans="2:6">
      <c r="B3" s="2" t="s">
        <v>330</v>
      </c>
      <c r="C3" s="2"/>
      <c r="D3" s="2">
        <f>機能一覧!E178</f>
        <v>0</v>
      </c>
      <c r="E3" s="2">
        <f>D3/8/20</f>
        <v>0</v>
      </c>
    </row>
    <row r="4" spans="2:6">
      <c r="B4" s="32" t="s">
        <v>331</v>
      </c>
      <c r="C4" s="2" t="s">
        <v>333</v>
      </c>
      <c r="D4" s="2"/>
      <c r="E4" s="2">
        <f t="shared" ref="E4:E8" si="0">D4/8/20</f>
        <v>0</v>
      </c>
    </row>
    <row r="5" spans="2:6">
      <c r="B5" s="32"/>
      <c r="C5" s="2" t="s">
        <v>334</v>
      </c>
      <c r="D5" s="2">
        <f>機能一覧!F178</f>
        <v>0</v>
      </c>
      <c r="E5" s="2">
        <f>D5/8/20</f>
        <v>0</v>
      </c>
    </row>
    <row r="6" spans="2:6">
      <c r="B6" s="35" t="s">
        <v>351</v>
      </c>
      <c r="C6" s="2" t="s">
        <v>352</v>
      </c>
      <c r="D6" s="2"/>
      <c r="E6" s="2"/>
    </row>
    <row r="7" spans="2:6">
      <c r="B7" s="32" t="s">
        <v>335</v>
      </c>
      <c r="C7" s="2" t="s">
        <v>336</v>
      </c>
      <c r="D7" s="2">
        <f>D3*0.2</f>
        <v>0</v>
      </c>
      <c r="E7" s="2">
        <f t="shared" si="0"/>
        <v>0</v>
      </c>
      <c r="F7" s="1" t="s">
        <v>339</v>
      </c>
    </row>
    <row r="8" spans="2:6">
      <c r="B8" s="32"/>
      <c r="C8" s="2" t="s">
        <v>337</v>
      </c>
      <c r="D8" s="2"/>
      <c r="E8" s="2">
        <f t="shared" si="0"/>
        <v>0</v>
      </c>
    </row>
    <row r="9" spans="2:6">
      <c r="B9" s="8" t="s">
        <v>344</v>
      </c>
      <c r="C9" s="8"/>
      <c r="D9" s="9">
        <f>SUM(D3:D8)</f>
        <v>0</v>
      </c>
      <c r="E9" s="9">
        <f>SUM(E3:E8)</f>
        <v>0</v>
      </c>
    </row>
  </sheetData>
  <mergeCells count="3">
    <mergeCell ref="B4:B5"/>
    <mergeCell ref="B7:B8"/>
    <mergeCell ref="B9:C9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9F69-7891-8744-B71D-5E90EE44EE1B}">
  <dimension ref="B1:AE35"/>
  <sheetViews>
    <sheetView showGridLines="0" workbookViewId="0">
      <pane xSplit="3" topLeftCell="D1" activePane="topRight" state="frozen"/>
      <selection pane="topRight" activeCell="T3" sqref="T3"/>
    </sheetView>
  </sheetViews>
  <sheetFormatPr baseColWidth="10" defaultRowHeight="18"/>
  <cols>
    <col min="1" max="1" width="2.6640625" style="1" customWidth="1"/>
    <col min="2" max="2" width="8" style="38" bestFit="1" customWidth="1"/>
    <col min="3" max="3" width="12.1640625" style="10" bestFit="1" customWidth="1"/>
    <col min="4" max="18" width="8.83203125" style="1" customWidth="1"/>
    <col min="19" max="19" width="2.6640625" style="1" customWidth="1"/>
    <col min="20" max="20" width="11.83203125" style="1" bestFit="1" customWidth="1"/>
    <col min="21" max="21" width="11.83203125" style="1" customWidth="1"/>
    <col min="22" max="22" width="13" style="1" customWidth="1"/>
    <col min="23" max="23" width="11.83203125" style="1" bestFit="1" customWidth="1"/>
    <col min="24" max="24" width="11.83203125" style="1" customWidth="1"/>
    <col min="25" max="25" width="14.1640625" style="1" bestFit="1" customWidth="1"/>
    <col min="26" max="26" width="11.83203125" style="1" bestFit="1" customWidth="1"/>
    <col min="27" max="27" width="11.83203125" style="1" customWidth="1"/>
    <col min="28" max="28" width="14.1640625" style="73" bestFit="1" customWidth="1"/>
    <col min="29" max="29" width="4.83203125" style="73" customWidth="1"/>
    <col min="30" max="30" width="12.6640625" style="14" bestFit="1" customWidth="1"/>
    <col min="31" max="31" width="14.1640625" style="14" bestFit="1" customWidth="1"/>
    <col min="32" max="16384" width="10.83203125" style="1"/>
  </cols>
  <sheetData>
    <row r="1" spans="2:31" ht="14" customHeight="1"/>
    <row r="2" spans="2:31">
      <c r="B2" s="42" t="s">
        <v>353</v>
      </c>
      <c r="C2" s="42"/>
      <c r="D2" s="44" t="s">
        <v>290</v>
      </c>
      <c r="E2" s="44"/>
      <c r="F2" s="44"/>
      <c r="G2" s="44" t="s">
        <v>291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T2" s="75" t="s">
        <v>354</v>
      </c>
      <c r="U2" s="74"/>
      <c r="V2" s="1" t="s">
        <v>355</v>
      </c>
    </row>
    <row r="3" spans="2:31" ht="19" thickBot="1">
      <c r="B3" s="42"/>
      <c r="C3" s="42"/>
      <c r="D3" s="47" t="s">
        <v>277</v>
      </c>
      <c r="E3" s="47" t="s">
        <v>279</v>
      </c>
      <c r="F3" s="47" t="s">
        <v>280</v>
      </c>
      <c r="G3" s="47" t="s">
        <v>281</v>
      </c>
      <c r="H3" s="43" t="s">
        <v>282</v>
      </c>
      <c r="I3" s="43" t="s">
        <v>283</v>
      </c>
      <c r="J3" s="43" t="s">
        <v>284</v>
      </c>
      <c r="K3" s="43" t="s">
        <v>285</v>
      </c>
      <c r="L3" s="43" t="s">
        <v>286</v>
      </c>
      <c r="M3" s="43" t="s">
        <v>287</v>
      </c>
      <c r="N3" s="43" t="s">
        <v>288</v>
      </c>
      <c r="O3" s="43" t="s">
        <v>289</v>
      </c>
      <c r="P3" s="43" t="s">
        <v>276</v>
      </c>
      <c r="Q3" s="43" t="s">
        <v>278</v>
      </c>
      <c r="R3" s="43" t="s">
        <v>280</v>
      </c>
      <c r="T3" s="3" t="s">
        <v>324</v>
      </c>
      <c r="U3" s="71"/>
      <c r="V3" s="2">
        <v>40</v>
      </c>
      <c r="W3" s="2">
        <f>V3/8/20</f>
        <v>0.25</v>
      </c>
    </row>
    <row r="4" spans="2:31">
      <c r="B4" s="39" t="s">
        <v>264</v>
      </c>
      <c r="C4" s="45" t="s">
        <v>265</v>
      </c>
      <c r="D4" s="49" t="s">
        <v>347</v>
      </c>
      <c r="E4" s="50"/>
      <c r="F4" s="50"/>
      <c r="G4" s="51"/>
      <c r="H4" s="46"/>
      <c r="I4" s="2"/>
      <c r="J4" s="2"/>
      <c r="K4" s="2"/>
      <c r="L4" s="2"/>
      <c r="M4" s="2"/>
      <c r="N4" s="2"/>
      <c r="O4" s="2"/>
      <c r="P4" s="2"/>
      <c r="Q4" s="2"/>
      <c r="R4" s="2"/>
      <c r="T4" s="11">
        <f>VLOOKUP(T3,単価!B16:C17,2,FALSE)</f>
        <v>1247500</v>
      </c>
      <c r="U4" s="72"/>
      <c r="V4" s="2">
        <v>11</v>
      </c>
      <c r="W4" s="2">
        <f>V4*8*20</f>
        <v>1760</v>
      </c>
    </row>
    <row r="5" spans="2:31" ht="19" thickBot="1">
      <c r="B5" s="40"/>
      <c r="C5" s="45" t="s">
        <v>266</v>
      </c>
      <c r="D5" s="52"/>
      <c r="E5" s="53"/>
      <c r="F5" s="53"/>
      <c r="G5" s="54"/>
      <c r="H5" s="56"/>
      <c r="I5" s="33"/>
      <c r="J5" s="33"/>
      <c r="K5" s="33"/>
      <c r="L5" s="2"/>
      <c r="M5" s="2"/>
      <c r="N5" s="2"/>
      <c r="O5" s="2"/>
      <c r="P5" s="2"/>
      <c r="Q5" s="2"/>
      <c r="R5" s="2"/>
    </row>
    <row r="6" spans="2:31" ht="19" thickBot="1">
      <c r="B6" s="40"/>
      <c r="C6" s="3" t="s">
        <v>345</v>
      </c>
      <c r="D6" s="48"/>
      <c r="E6" s="48"/>
      <c r="F6" s="48"/>
      <c r="G6" s="55"/>
      <c r="H6" s="57" t="s">
        <v>349</v>
      </c>
      <c r="I6" s="58"/>
      <c r="J6" s="58"/>
      <c r="K6" s="59"/>
      <c r="L6" s="56"/>
      <c r="M6" s="33"/>
      <c r="N6" s="33"/>
      <c r="O6" s="2"/>
      <c r="P6" s="2"/>
      <c r="Q6" s="2"/>
      <c r="R6" s="2"/>
      <c r="T6" s="34" t="s">
        <v>348</v>
      </c>
      <c r="U6" s="34"/>
      <c r="V6" s="34"/>
      <c r="W6" s="34" t="s">
        <v>349</v>
      </c>
      <c r="X6" s="34"/>
      <c r="Y6" s="34"/>
      <c r="Z6" s="34" t="s">
        <v>350</v>
      </c>
      <c r="AA6" s="34"/>
      <c r="AB6" s="34"/>
      <c r="AC6" s="74"/>
    </row>
    <row r="7" spans="2:31" ht="19" thickBot="1">
      <c r="B7" s="40"/>
      <c r="C7" s="3" t="s">
        <v>346</v>
      </c>
      <c r="D7" s="2"/>
      <c r="E7" s="2"/>
      <c r="F7" s="2"/>
      <c r="G7" s="2"/>
      <c r="H7" s="48"/>
      <c r="I7" s="48"/>
      <c r="J7" s="48"/>
      <c r="K7" s="55"/>
      <c r="L7" s="57" t="s">
        <v>350</v>
      </c>
      <c r="M7" s="58"/>
      <c r="N7" s="59"/>
      <c r="O7" s="46"/>
      <c r="P7" s="2"/>
      <c r="Q7" s="2"/>
      <c r="R7" s="2"/>
      <c r="T7" s="3" t="s">
        <v>343</v>
      </c>
      <c r="U7" s="3" t="s">
        <v>332</v>
      </c>
      <c r="V7" s="3" t="s">
        <v>306</v>
      </c>
      <c r="W7" s="3" t="s">
        <v>343</v>
      </c>
      <c r="X7" s="3" t="s">
        <v>332</v>
      </c>
      <c r="Y7" s="3" t="s">
        <v>306</v>
      </c>
      <c r="Z7" s="3" t="s">
        <v>343</v>
      </c>
      <c r="AA7" s="3" t="s">
        <v>332</v>
      </c>
      <c r="AB7" s="3" t="s">
        <v>306</v>
      </c>
      <c r="AC7" s="74"/>
    </row>
    <row r="8" spans="2:31">
      <c r="B8" s="40"/>
      <c r="C8" s="3" t="s">
        <v>269</v>
      </c>
      <c r="D8" s="2">
        <v>40</v>
      </c>
      <c r="E8" s="2">
        <v>80</v>
      </c>
      <c r="F8" s="2">
        <v>80</v>
      </c>
      <c r="G8" s="2">
        <v>40</v>
      </c>
      <c r="H8" s="2">
        <v>80</v>
      </c>
      <c r="I8" s="2">
        <v>80</v>
      </c>
      <c r="J8" s="2">
        <v>80</v>
      </c>
      <c r="K8" s="2">
        <v>80</v>
      </c>
      <c r="L8" s="48">
        <v>80</v>
      </c>
      <c r="M8" s="48">
        <v>80</v>
      </c>
      <c r="N8" s="48">
        <v>80</v>
      </c>
      <c r="O8" s="2"/>
      <c r="P8" s="2"/>
      <c r="Q8" s="2"/>
      <c r="R8" s="2"/>
      <c r="T8" s="36">
        <f>SUM(D8:G8)</f>
        <v>240</v>
      </c>
      <c r="U8" s="76">
        <f>T8/8/20</f>
        <v>1.5</v>
      </c>
      <c r="V8" s="36">
        <f>U8*$T$4</f>
        <v>1871250</v>
      </c>
      <c r="W8" s="11">
        <f>SUM(H8:K8)</f>
        <v>320</v>
      </c>
      <c r="X8" s="76">
        <f>W8/8/20</f>
        <v>2</v>
      </c>
      <c r="Y8" s="36">
        <f>X8*$T$4</f>
        <v>2495000</v>
      </c>
      <c r="Z8" s="11">
        <f>SUM(L8:N8)</f>
        <v>240</v>
      </c>
      <c r="AA8" s="76">
        <f>Z8/8/20</f>
        <v>1.5</v>
      </c>
      <c r="AB8" s="36">
        <f>AA8*$T$4</f>
        <v>1871250</v>
      </c>
      <c r="AC8" s="77"/>
    </row>
    <row r="9" spans="2:31">
      <c r="B9" s="40"/>
      <c r="C9" s="3" t="s">
        <v>270</v>
      </c>
      <c r="D9" s="2">
        <v>40</v>
      </c>
      <c r="E9" s="2">
        <v>80</v>
      </c>
      <c r="F9" s="2">
        <v>80</v>
      </c>
      <c r="G9" s="2">
        <v>40</v>
      </c>
      <c r="H9" s="2">
        <v>80</v>
      </c>
      <c r="I9" s="2">
        <v>80</v>
      </c>
      <c r="J9" s="2">
        <v>80</v>
      </c>
      <c r="K9" s="2">
        <v>80</v>
      </c>
      <c r="L9" s="2">
        <v>80</v>
      </c>
      <c r="M9" s="2">
        <v>80</v>
      </c>
      <c r="N9" s="2">
        <v>80</v>
      </c>
      <c r="O9" s="2"/>
      <c r="P9" s="2"/>
      <c r="Q9" s="2"/>
      <c r="R9" s="2"/>
      <c r="T9" s="36">
        <f t="shared" ref="T9:T12" si="0">SUM(D9:G9)</f>
        <v>240</v>
      </c>
      <c r="U9" s="76">
        <f t="shared" ref="U9:U12" si="1">T9/8/20</f>
        <v>1.5</v>
      </c>
      <c r="V9" s="36">
        <f t="shared" ref="V9:V12" si="2">U9*$T$4</f>
        <v>1871250</v>
      </c>
      <c r="W9" s="11">
        <f t="shared" ref="W9:W11" si="3">SUM(H9:K9)</f>
        <v>320</v>
      </c>
      <c r="X9" s="76">
        <f t="shared" ref="X9:X12" si="4">W9/8/20</f>
        <v>2</v>
      </c>
      <c r="Y9" s="36">
        <f>X9*$T$4</f>
        <v>2495000</v>
      </c>
      <c r="Z9" s="11">
        <f>SUM(L9:N9)</f>
        <v>240</v>
      </c>
      <c r="AA9" s="76">
        <f t="shared" ref="AA9:AA12" si="5">Z9/8/20</f>
        <v>1.5</v>
      </c>
      <c r="AB9" s="36">
        <f t="shared" ref="AB9:AB12" si="6">AA9*$T$4</f>
        <v>1871250</v>
      </c>
      <c r="AC9" s="77"/>
    </row>
    <row r="10" spans="2:31">
      <c r="B10" s="40"/>
      <c r="C10" s="3" t="s">
        <v>271</v>
      </c>
      <c r="D10" s="2">
        <v>20</v>
      </c>
      <c r="E10" s="2">
        <v>40</v>
      </c>
      <c r="F10" s="2">
        <v>40</v>
      </c>
      <c r="G10" s="2">
        <v>20</v>
      </c>
      <c r="H10" s="2">
        <v>80</v>
      </c>
      <c r="I10" s="2"/>
      <c r="J10" s="2"/>
      <c r="K10" s="2"/>
      <c r="L10" s="2"/>
      <c r="M10" s="2"/>
      <c r="N10" s="2"/>
      <c r="O10" s="2"/>
      <c r="P10" s="2"/>
      <c r="Q10" s="2"/>
      <c r="R10" s="2"/>
      <c r="T10" s="36">
        <f t="shared" si="0"/>
        <v>120</v>
      </c>
      <c r="U10" s="76">
        <f t="shared" si="1"/>
        <v>0.75</v>
      </c>
      <c r="V10" s="36">
        <f t="shared" si="2"/>
        <v>935625</v>
      </c>
      <c r="W10" s="11">
        <f t="shared" si="3"/>
        <v>80</v>
      </c>
      <c r="X10" s="76">
        <f t="shared" si="4"/>
        <v>0.5</v>
      </c>
      <c r="Y10" s="36">
        <f t="shared" ref="Y9:Y12" si="7">X10*$T$4</f>
        <v>623750</v>
      </c>
      <c r="Z10" s="11">
        <f>SUM(L10:N10)</f>
        <v>0</v>
      </c>
      <c r="AA10" s="76">
        <f t="shared" si="5"/>
        <v>0</v>
      </c>
      <c r="AB10" s="36">
        <f t="shared" si="6"/>
        <v>0</v>
      </c>
      <c r="AC10" s="77"/>
    </row>
    <row r="11" spans="2:31">
      <c r="B11" s="40"/>
      <c r="C11" s="3" t="s">
        <v>272</v>
      </c>
      <c r="D11" s="2">
        <v>30</v>
      </c>
      <c r="E11" s="2">
        <v>60</v>
      </c>
      <c r="F11" s="2">
        <v>60</v>
      </c>
      <c r="G11" s="2">
        <v>30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36">
        <f>SUM(D11:G11)</f>
        <v>180</v>
      </c>
      <c r="U11" s="76">
        <f>T11/8/20</f>
        <v>1.125</v>
      </c>
      <c r="V11" s="36">
        <f t="shared" si="2"/>
        <v>1403437.5</v>
      </c>
      <c r="W11" s="11">
        <f t="shared" si="3"/>
        <v>0</v>
      </c>
      <c r="X11" s="76">
        <f t="shared" si="4"/>
        <v>0</v>
      </c>
      <c r="Y11" s="36">
        <f t="shared" si="7"/>
        <v>0</v>
      </c>
      <c r="Z11" s="11">
        <f>SUM(L11:N11)</f>
        <v>0</v>
      </c>
      <c r="AA11" s="76">
        <f t="shared" si="5"/>
        <v>0</v>
      </c>
      <c r="AB11" s="36">
        <f t="shared" si="6"/>
        <v>0</v>
      </c>
      <c r="AC11" s="77"/>
    </row>
    <row r="12" spans="2:31" ht="19" thickBot="1">
      <c r="B12" s="40"/>
      <c r="C12" s="3" t="s">
        <v>273</v>
      </c>
      <c r="D12" s="2"/>
      <c r="E12" s="2"/>
      <c r="F12" s="2"/>
      <c r="G12" s="2"/>
      <c r="H12" s="2">
        <v>660</v>
      </c>
      <c r="I12" s="2">
        <v>660</v>
      </c>
      <c r="J12" s="2">
        <v>660</v>
      </c>
      <c r="K12" s="2">
        <v>660</v>
      </c>
      <c r="L12" s="2">
        <v>580</v>
      </c>
      <c r="M12" s="2">
        <v>580</v>
      </c>
      <c r="N12" s="2">
        <v>580</v>
      </c>
      <c r="O12" s="2"/>
      <c r="P12" s="2"/>
      <c r="Q12" s="2"/>
      <c r="R12" s="2"/>
      <c r="T12" s="36">
        <f t="shared" si="0"/>
        <v>0</v>
      </c>
      <c r="U12" s="76">
        <f t="shared" si="1"/>
        <v>0</v>
      </c>
      <c r="V12" s="36">
        <f t="shared" si="2"/>
        <v>0</v>
      </c>
      <c r="W12" s="11">
        <f>SUM(H12:K12)</f>
        <v>2640</v>
      </c>
      <c r="X12" s="76">
        <f t="shared" si="4"/>
        <v>16.5</v>
      </c>
      <c r="Y12" s="36">
        <f t="shared" si="7"/>
        <v>20583750</v>
      </c>
      <c r="Z12" s="11">
        <f>SUM(L12:N12)</f>
        <v>1740</v>
      </c>
      <c r="AA12" s="76">
        <f t="shared" si="5"/>
        <v>10.875</v>
      </c>
      <c r="AB12" s="36">
        <f t="shared" si="6"/>
        <v>13566562.5</v>
      </c>
      <c r="AC12" s="77"/>
      <c r="AD12" s="14" t="s">
        <v>356</v>
      </c>
      <c r="AE12" s="14" t="s">
        <v>357</v>
      </c>
    </row>
    <row r="13" spans="2:31" ht="19" thickBot="1">
      <c r="B13" s="41"/>
      <c r="C13" s="24" t="s">
        <v>344</v>
      </c>
      <c r="D13" s="9">
        <f>SUM(D8:D12)</f>
        <v>130</v>
      </c>
      <c r="E13" s="9">
        <f t="shared" ref="E13:R13" si="8">SUM(E8:E12)</f>
        <v>260</v>
      </c>
      <c r="F13" s="9">
        <f t="shared" si="8"/>
        <v>260</v>
      </c>
      <c r="G13" s="9">
        <f t="shared" si="8"/>
        <v>130</v>
      </c>
      <c r="H13" s="9">
        <f t="shared" si="8"/>
        <v>900</v>
      </c>
      <c r="I13" s="9">
        <f t="shared" si="8"/>
        <v>820</v>
      </c>
      <c r="J13" s="9">
        <f t="shared" si="8"/>
        <v>820</v>
      </c>
      <c r="K13" s="9">
        <f t="shared" si="8"/>
        <v>820</v>
      </c>
      <c r="L13" s="9">
        <f t="shared" si="8"/>
        <v>740</v>
      </c>
      <c r="M13" s="9">
        <f t="shared" si="8"/>
        <v>740</v>
      </c>
      <c r="N13" s="9">
        <f t="shared" si="8"/>
        <v>740</v>
      </c>
      <c r="O13" s="9">
        <f t="shared" si="8"/>
        <v>0</v>
      </c>
      <c r="P13" s="9">
        <f t="shared" si="8"/>
        <v>0</v>
      </c>
      <c r="Q13" s="9">
        <f t="shared" si="8"/>
        <v>0</v>
      </c>
      <c r="R13" s="9">
        <f t="shared" si="8"/>
        <v>0</v>
      </c>
      <c r="T13" s="37">
        <f>SUM(T8:T12)</f>
        <v>780</v>
      </c>
      <c r="U13" s="78">
        <f>ROUND(SUM(U8:U12),1)</f>
        <v>4.9000000000000004</v>
      </c>
      <c r="V13" s="79">
        <f>SUM(V8:V12)</f>
        <v>6081562.5</v>
      </c>
      <c r="W13" s="37">
        <f t="shared" ref="W13:Z13" si="9">SUM(W8:W12)</f>
        <v>3360</v>
      </c>
      <c r="X13" s="78">
        <f>ROUNDUP(SUM(X8:X12),0)</f>
        <v>21</v>
      </c>
      <c r="Y13" s="79">
        <f>SUM(Y8:Y12)</f>
        <v>26197500</v>
      </c>
      <c r="Z13" s="37">
        <f t="shared" si="9"/>
        <v>2220</v>
      </c>
      <c r="AA13" s="78">
        <f>ROUNDUP(SUM(AA8:AA12),0)</f>
        <v>14</v>
      </c>
      <c r="AB13" s="79">
        <f>SUM(AB8:AB12)</f>
        <v>17309062.5</v>
      </c>
      <c r="AC13" s="77"/>
      <c r="AD13" s="81">
        <f>T13+W13+Z13</f>
        <v>6360</v>
      </c>
      <c r="AE13" s="81">
        <f>V13+Y13+AB13</f>
        <v>49588125</v>
      </c>
    </row>
    <row r="14" spans="2:31" ht="19" thickBot="1">
      <c r="V14" s="19"/>
    </row>
    <row r="15" spans="2:31">
      <c r="B15" s="39" t="s">
        <v>274</v>
      </c>
      <c r="C15" s="45" t="s">
        <v>265</v>
      </c>
      <c r="D15" s="49" t="s">
        <v>348</v>
      </c>
      <c r="E15" s="50"/>
      <c r="F15" s="50"/>
      <c r="G15" s="50"/>
      <c r="H15" s="51"/>
      <c r="I15" s="46"/>
      <c r="J15" s="2"/>
      <c r="K15" s="2"/>
      <c r="L15" s="2"/>
      <c r="M15" s="2"/>
      <c r="N15" s="2"/>
      <c r="O15" s="2"/>
      <c r="P15" s="2"/>
      <c r="Q15" s="2"/>
      <c r="R15" s="2"/>
    </row>
    <row r="16" spans="2:31" ht="19" thickBot="1">
      <c r="B16" s="40"/>
      <c r="C16" s="45" t="s">
        <v>266</v>
      </c>
      <c r="D16" s="52"/>
      <c r="E16" s="53"/>
      <c r="F16" s="53"/>
      <c r="G16" s="53"/>
      <c r="H16" s="54"/>
      <c r="I16" s="56"/>
      <c r="J16" s="33"/>
      <c r="K16" s="33"/>
      <c r="L16" s="33"/>
      <c r="M16" s="2"/>
      <c r="N16" s="2"/>
      <c r="O16" s="2"/>
      <c r="P16" s="2"/>
      <c r="Q16" s="2"/>
      <c r="R16" s="2"/>
    </row>
    <row r="17" spans="2:31" ht="19" thickBot="1">
      <c r="B17" s="40"/>
      <c r="C17" s="3" t="s">
        <v>345</v>
      </c>
      <c r="D17" s="48"/>
      <c r="E17" s="48"/>
      <c r="F17" s="48"/>
      <c r="G17" s="48"/>
      <c r="H17" s="55"/>
      <c r="I17" s="57" t="s">
        <v>349</v>
      </c>
      <c r="J17" s="58"/>
      <c r="K17" s="58"/>
      <c r="L17" s="59"/>
      <c r="M17" s="56"/>
      <c r="N17" s="33"/>
      <c r="O17" s="33"/>
      <c r="P17" s="2"/>
      <c r="Q17" s="2"/>
      <c r="R17" s="2"/>
      <c r="T17" s="34" t="s">
        <v>348</v>
      </c>
      <c r="U17" s="34"/>
      <c r="V17" s="34"/>
      <c r="W17" s="34" t="s">
        <v>349</v>
      </c>
      <c r="X17" s="34"/>
      <c r="Y17" s="34"/>
      <c r="Z17" s="34" t="s">
        <v>350</v>
      </c>
      <c r="AA17" s="34"/>
      <c r="AB17" s="34"/>
      <c r="AC17" s="74"/>
    </row>
    <row r="18" spans="2:31" ht="19" thickBot="1">
      <c r="B18" s="40"/>
      <c r="C18" s="3" t="s">
        <v>346</v>
      </c>
      <c r="D18" s="2"/>
      <c r="E18" s="2"/>
      <c r="F18" s="2"/>
      <c r="G18" s="2"/>
      <c r="H18" s="2"/>
      <c r="I18" s="48"/>
      <c r="J18" s="48"/>
      <c r="K18" s="48"/>
      <c r="L18" s="55"/>
      <c r="M18" s="57" t="s">
        <v>350</v>
      </c>
      <c r="N18" s="58"/>
      <c r="O18" s="59"/>
      <c r="P18" s="46"/>
      <c r="Q18" s="2"/>
      <c r="R18" s="2"/>
      <c r="T18" s="3" t="s">
        <v>343</v>
      </c>
      <c r="U18" s="3" t="s">
        <v>332</v>
      </c>
      <c r="V18" s="3" t="s">
        <v>306</v>
      </c>
      <c r="W18" s="3" t="s">
        <v>343</v>
      </c>
      <c r="X18" s="3" t="s">
        <v>332</v>
      </c>
      <c r="Y18" s="3" t="s">
        <v>306</v>
      </c>
      <c r="Z18" s="3" t="s">
        <v>343</v>
      </c>
      <c r="AA18" s="3" t="s">
        <v>332</v>
      </c>
      <c r="AB18" s="3" t="s">
        <v>306</v>
      </c>
      <c r="AC18" s="74"/>
    </row>
    <row r="19" spans="2:31">
      <c r="B19" s="40"/>
      <c r="C19" s="3" t="s">
        <v>269</v>
      </c>
      <c r="D19" s="2">
        <v>40</v>
      </c>
      <c r="E19" s="2">
        <v>80</v>
      </c>
      <c r="F19" s="2">
        <v>80</v>
      </c>
      <c r="G19" s="2">
        <v>80</v>
      </c>
      <c r="H19" s="2">
        <v>40</v>
      </c>
      <c r="I19" s="2">
        <v>80</v>
      </c>
      <c r="J19" s="2">
        <v>80</v>
      </c>
      <c r="K19" s="2">
        <v>80</v>
      </c>
      <c r="L19" s="2">
        <v>80</v>
      </c>
      <c r="M19" s="48">
        <v>80</v>
      </c>
      <c r="N19" s="48">
        <v>80</v>
      </c>
      <c r="O19" s="48">
        <v>80</v>
      </c>
      <c r="P19" s="2"/>
      <c r="Q19" s="2"/>
      <c r="R19" s="2"/>
      <c r="T19" s="36">
        <f>SUM(D19:H19)</f>
        <v>320</v>
      </c>
      <c r="U19" s="76">
        <f>T19/8/20</f>
        <v>2</v>
      </c>
      <c r="V19" s="36">
        <f>U19*$T$4</f>
        <v>2495000</v>
      </c>
      <c r="W19" s="11">
        <f>SUM(I19:L19)</f>
        <v>320</v>
      </c>
      <c r="X19" s="76">
        <f>W19/8/20</f>
        <v>2</v>
      </c>
      <c r="Y19" s="36">
        <f>(W19/8/20)*$T$4</f>
        <v>2495000</v>
      </c>
      <c r="Z19" s="11">
        <f>SUM(M19:O19)</f>
        <v>240</v>
      </c>
      <c r="AA19" s="76">
        <f>Z19/8/20</f>
        <v>1.5</v>
      </c>
      <c r="AB19" s="36">
        <f>(Z19/8/20)*$T$4</f>
        <v>1871250</v>
      </c>
      <c r="AC19" s="77"/>
    </row>
    <row r="20" spans="2:31">
      <c r="B20" s="40"/>
      <c r="C20" s="3" t="s">
        <v>270</v>
      </c>
      <c r="D20" s="2">
        <v>40</v>
      </c>
      <c r="E20" s="2">
        <v>80</v>
      </c>
      <c r="F20" s="2">
        <v>80</v>
      </c>
      <c r="G20" s="2">
        <v>80</v>
      </c>
      <c r="H20" s="2">
        <v>40</v>
      </c>
      <c r="I20" s="2">
        <v>80</v>
      </c>
      <c r="J20" s="2">
        <v>80</v>
      </c>
      <c r="K20" s="2">
        <v>80</v>
      </c>
      <c r="L20" s="2">
        <v>80</v>
      </c>
      <c r="M20" s="2">
        <v>80</v>
      </c>
      <c r="N20" s="2">
        <v>80</v>
      </c>
      <c r="O20" s="2">
        <v>80</v>
      </c>
      <c r="P20" s="2"/>
      <c r="Q20" s="2"/>
      <c r="R20" s="2"/>
      <c r="T20" s="36">
        <f t="shared" ref="T20:T23" si="10">SUM(D20:H20)</f>
        <v>320</v>
      </c>
      <c r="U20" s="76">
        <f t="shared" ref="U20:U23" si="11">T20/8/20</f>
        <v>2</v>
      </c>
      <c r="V20" s="36">
        <f t="shared" ref="V20:V23" si="12">U20*$T$4</f>
        <v>2495000</v>
      </c>
      <c r="W20" s="11">
        <f t="shared" ref="W20:W23" si="13">SUM(I20:L20)</f>
        <v>320</v>
      </c>
      <c r="X20" s="76">
        <f t="shared" ref="X20:X23" si="14">W20/8/20</f>
        <v>2</v>
      </c>
      <c r="Y20" s="36">
        <f>(W20/8/20)*$T$4</f>
        <v>2495000</v>
      </c>
      <c r="Z20" s="11">
        <f t="shared" ref="Z20:Z23" si="15">SUM(M20:O20)</f>
        <v>240</v>
      </c>
      <c r="AA20" s="76">
        <f t="shared" ref="AA20:AA23" si="16">Z20/8/20</f>
        <v>1.5</v>
      </c>
      <c r="AB20" s="36">
        <f>(Z20/8/20)*$T$4</f>
        <v>1871250</v>
      </c>
      <c r="AC20" s="77"/>
    </row>
    <row r="21" spans="2:31">
      <c r="B21" s="40"/>
      <c r="C21" s="3" t="s">
        <v>271</v>
      </c>
      <c r="D21" s="2">
        <v>20</v>
      </c>
      <c r="E21" s="2">
        <v>40</v>
      </c>
      <c r="F21" s="2">
        <v>40</v>
      </c>
      <c r="G21" s="2">
        <v>20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36">
        <f t="shared" si="10"/>
        <v>120</v>
      </c>
      <c r="U21" s="76">
        <f t="shared" si="11"/>
        <v>0.75</v>
      </c>
      <c r="V21" s="36">
        <f t="shared" si="12"/>
        <v>935625</v>
      </c>
      <c r="W21" s="11">
        <f t="shared" si="13"/>
        <v>0</v>
      </c>
      <c r="X21" s="76">
        <f t="shared" si="14"/>
        <v>0</v>
      </c>
      <c r="Y21" s="36">
        <f t="shared" ref="Y21" si="17">(W21/8/20)*$T$4</f>
        <v>0</v>
      </c>
      <c r="Z21" s="11">
        <f t="shared" si="15"/>
        <v>0</v>
      </c>
      <c r="AA21" s="76">
        <f t="shared" si="16"/>
        <v>0</v>
      </c>
      <c r="AB21" s="36">
        <f t="shared" ref="AB21" si="18">(Z21/8/20)*$T$4</f>
        <v>0</v>
      </c>
      <c r="AC21" s="77"/>
    </row>
    <row r="22" spans="2:31">
      <c r="B22" s="40"/>
      <c r="C22" s="3" t="s">
        <v>272</v>
      </c>
      <c r="D22" s="2">
        <v>30</v>
      </c>
      <c r="E22" s="2">
        <v>60</v>
      </c>
      <c r="F22" s="2">
        <v>60</v>
      </c>
      <c r="G22" s="2">
        <v>30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36">
        <f t="shared" si="10"/>
        <v>180</v>
      </c>
      <c r="U22" s="76">
        <f>T22/8/20</f>
        <v>1.125</v>
      </c>
      <c r="V22" s="36">
        <f t="shared" si="12"/>
        <v>1403437.5</v>
      </c>
      <c r="W22" s="11">
        <f t="shared" si="13"/>
        <v>0</v>
      </c>
      <c r="X22" s="76">
        <f t="shared" si="14"/>
        <v>0</v>
      </c>
      <c r="Y22" s="36">
        <f t="shared" ref="Y22" si="19">(W22/8/20)*$T$4</f>
        <v>0</v>
      </c>
      <c r="Z22" s="11">
        <f t="shared" si="15"/>
        <v>0</v>
      </c>
      <c r="AA22" s="76">
        <f t="shared" si="16"/>
        <v>0</v>
      </c>
      <c r="AB22" s="36">
        <f t="shared" ref="AB22" si="20">(Z22/8/20)*$T$4</f>
        <v>0</v>
      </c>
      <c r="AC22" s="77"/>
    </row>
    <row r="23" spans="2:31" ht="19" thickBot="1">
      <c r="B23" s="40"/>
      <c r="C23" s="3" t="s">
        <v>273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36">
        <f t="shared" si="10"/>
        <v>0</v>
      </c>
      <c r="U23" s="76">
        <f t="shared" si="11"/>
        <v>0</v>
      </c>
      <c r="V23" s="36">
        <f t="shared" si="12"/>
        <v>0</v>
      </c>
      <c r="W23" s="11">
        <f t="shared" si="13"/>
        <v>0</v>
      </c>
      <c r="X23" s="76">
        <f t="shared" si="14"/>
        <v>0</v>
      </c>
      <c r="Y23" s="36">
        <f t="shared" ref="Y23" si="21">(W23/8/20)*$T$4</f>
        <v>0</v>
      </c>
      <c r="Z23" s="11">
        <f t="shared" si="15"/>
        <v>0</v>
      </c>
      <c r="AA23" s="76">
        <f t="shared" si="16"/>
        <v>0</v>
      </c>
      <c r="AB23" s="36">
        <f t="shared" ref="AB23" si="22">(Z23/8/20)*$T$4</f>
        <v>0</v>
      </c>
      <c r="AC23" s="77"/>
      <c r="AD23" s="14" t="s">
        <v>356</v>
      </c>
      <c r="AE23" s="14" t="s">
        <v>357</v>
      </c>
    </row>
    <row r="24" spans="2:31" ht="19" thickBot="1">
      <c r="B24" s="41"/>
      <c r="C24" s="24" t="s">
        <v>344</v>
      </c>
      <c r="D24" s="9">
        <f>SUM(D19:D23)</f>
        <v>130</v>
      </c>
      <c r="E24" s="9">
        <f>SUM(E19:E23)</f>
        <v>260</v>
      </c>
      <c r="F24" s="9">
        <f t="shared" ref="F24" si="23">SUM(F19:F23)</f>
        <v>260</v>
      </c>
      <c r="G24" s="9">
        <f t="shared" ref="G24" si="24">SUM(G19:G23)</f>
        <v>210</v>
      </c>
      <c r="H24" s="9">
        <f t="shared" ref="H24" si="25">SUM(H19:H23)</f>
        <v>80</v>
      </c>
      <c r="I24" s="9">
        <f t="shared" ref="I24" si="26">SUM(I19:I23)</f>
        <v>160</v>
      </c>
      <c r="J24" s="9">
        <f t="shared" ref="J24" si="27">SUM(J19:J23)</f>
        <v>160</v>
      </c>
      <c r="K24" s="9">
        <f t="shared" ref="K24" si="28">SUM(K19:K23)</f>
        <v>160</v>
      </c>
      <c r="L24" s="9">
        <f t="shared" ref="L24" si="29">SUM(L19:L23)</f>
        <v>160</v>
      </c>
      <c r="M24" s="9">
        <f t="shared" ref="M24" si="30">SUM(M19:M23)</f>
        <v>160</v>
      </c>
      <c r="N24" s="9">
        <f t="shared" ref="N24" si="31">SUM(N19:N23)</f>
        <v>160</v>
      </c>
      <c r="O24" s="9">
        <f t="shared" ref="O24" si="32">SUM(O19:O23)</f>
        <v>160</v>
      </c>
      <c r="P24" s="9">
        <f t="shared" ref="P24" si="33">SUM(P19:P23)</f>
        <v>0</v>
      </c>
      <c r="Q24" s="9">
        <f t="shared" ref="Q24" si="34">SUM(Q19:Q23)</f>
        <v>0</v>
      </c>
      <c r="R24" s="9">
        <f t="shared" ref="R24" si="35">SUM(R19:R23)</f>
        <v>0</v>
      </c>
      <c r="T24" s="37">
        <f>SUM(T19:T23)</f>
        <v>940</v>
      </c>
      <c r="U24" s="78">
        <f>SUM(U19:U23)</f>
        <v>5.875</v>
      </c>
      <c r="V24" s="79">
        <f>SUM(V19:V23)</f>
        <v>7329062.5</v>
      </c>
      <c r="W24" s="23">
        <f>SUM(W19:W23)</f>
        <v>640</v>
      </c>
      <c r="X24" s="78">
        <f>SUM(X19:X23)</f>
        <v>4</v>
      </c>
      <c r="Y24" s="80">
        <f>SUM(Y19:Y23)</f>
        <v>4990000</v>
      </c>
      <c r="Z24" s="23">
        <f>SUM(Z19:Z23)</f>
        <v>480</v>
      </c>
      <c r="AA24" s="78">
        <f>SUM(AA19:AA23)</f>
        <v>3</v>
      </c>
      <c r="AB24" s="79">
        <f>SUM(AB19:AB23)</f>
        <v>3742500</v>
      </c>
      <c r="AC24" s="77"/>
      <c r="AD24" s="81">
        <f>T24+W24+Z24</f>
        <v>2060</v>
      </c>
      <c r="AE24" s="81">
        <f>V24+Y24+AB24</f>
        <v>16061562.5</v>
      </c>
    </row>
    <row r="25" spans="2:31" ht="19" thickBot="1"/>
    <row r="26" spans="2:31" ht="19" thickBot="1">
      <c r="B26" s="39" t="s">
        <v>275</v>
      </c>
      <c r="C26" s="45" t="s">
        <v>265</v>
      </c>
      <c r="D26" s="57" t="s">
        <v>348</v>
      </c>
      <c r="E26" s="58"/>
      <c r="F26" s="58"/>
      <c r="G26" s="59"/>
      <c r="H26" s="56"/>
      <c r="I26" s="33"/>
      <c r="J26" s="33"/>
      <c r="K26" s="33"/>
      <c r="L26" s="33"/>
      <c r="M26" s="33"/>
      <c r="N26" s="2"/>
      <c r="O26" s="2"/>
      <c r="P26" s="2"/>
      <c r="Q26" s="2"/>
      <c r="R26" s="2"/>
    </row>
    <row r="27" spans="2:31">
      <c r="B27" s="40"/>
      <c r="C27" s="3" t="s">
        <v>266</v>
      </c>
      <c r="D27" s="48"/>
      <c r="E27" s="48"/>
      <c r="F27" s="48"/>
      <c r="G27" s="55"/>
      <c r="H27" s="61" t="s">
        <v>349</v>
      </c>
      <c r="I27" s="62"/>
      <c r="J27" s="68"/>
      <c r="K27" s="69"/>
      <c r="L27" s="69"/>
      <c r="M27" s="70"/>
      <c r="N27" s="46"/>
      <c r="O27" s="2"/>
      <c r="P27" s="2"/>
      <c r="Q27" s="2"/>
      <c r="R27" s="2"/>
    </row>
    <row r="28" spans="2:31" ht="19" thickBot="1">
      <c r="B28" s="40"/>
      <c r="C28" s="3" t="s">
        <v>345</v>
      </c>
      <c r="D28" s="2"/>
      <c r="E28" s="2"/>
      <c r="F28" s="2"/>
      <c r="G28" s="60"/>
      <c r="H28" s="66"/>
      <c r="I28" s="67"/>
      <c r="J28" s="63" t="s">
        <v>349</v>
      </c>
      <c r="K28" s="64"/>
      <c r="L28" s="64"/>
      <c r="M28" s="65"/>
      <c r="N28" s="56"/>
      <c r="O28" s="33"/>
      <c r="P28" s="33"/>
      <c r="Q28" s="2"/>
      <c r="R28" s="2"/>
      <c r="T28" s="34" t="s">
        <v>348</v>
      </c>
      <c r="U28" s="34"/>
      <c r="V28" s="34"/>
      <c r="W28" s="34" t="s">
        <v>349</v>
      </c>
      <c r="X28" s="34"/>
      <c r="Y28" s="34"/>
      <c r="Z28" s="34" t="s">
        <v>350</v>
      </c>
      <c r="AA28" s="34"/>
      <c r="AB28" s="34"/>
      <c r="AC28" s="74"/>
    </row>
    <row r="29" spans="2:31" ht="19" thickBot="1">
      <c r="B29" s="40"/>
      <c r="C29" s="3" t="s">
        <v>346</v>
      </c>
      <c r="D29" s="2"/>
      <c r="E29" s="2"/>
      <c r="F29" s="2"/>
      <c r="G29" s="2"/>
      <c r="H29" s="48"/>
      <c r="I29" s="48"/>
      <c r="J29" s="48"/>
      <c r="K29" s="48"/>
      <c r="L29" s="48"/>
      <c r="M29" s="55"/>
      <c r="N29" s="57" t="s">
        <v>350</v>
      </c>
      <c r="O29" s="58"/>
      <c r="P29" s="59"/>
      <c r="Q29" s="46"/>
      <c r="R29" s="2"/>
      <c r="T29" s="3" t="s">
        <v>343</v>
      </c>
      <c r="U29" s="3" t="s">
        <v>332</v>
      </c>
      <c r="V29" s="3" t="s">
        <v>306</v>
      </c>
      <c r="W29" s="3" t="s">
        <v>343</v>
      </c>
      <c r="X29" s="3" t="s">
        <v>332</v>
      </c>
      <c r="Y29" s="3" t="s">
        <v>306</v>
      </c>
      <c r="Z29" s="3" t="s">
        <v>343</v>
      </c>
      <c r="AA29" s="3" t="s">
        <v>332</v>
      </c>
      <c r="AB29" s="3" t="s">
        <v>306</v>
      </c>
      <c r="AC29" s="74"/>
    </row>
    <row r="30" spans="2:31">
      <c r="B30" s="40"/>
      <c r="C30" s="3" t="s">
        <v>269</v>
      </c>
      <c r="D30" s="2">
        <v>40</v>
      </c>
      <c r="E30" s="2">
        <v>80</v>
      </c>
      <c r="F30" s="2">
        <v>80</v>
      </c>
      <c r="G30" s="2">
        <v>80</v>
      </c>
      <c r="H30" s="2">
        <v>80</v>
      </c>
      <c r="I30" s="2">
        <v>40</v>
      </c>
      <c r="J30" s="2">
        <v>80</v>
      </c>
      <c r="K30" s="2">
        <v>80</v>
      </c>
      <c r="L30" s="2">
        <v>80</v>
      </c>
      <c r="M30" s="2">
        <v>80</v>
      </c>
      <c r="N30" s="48">
        <v>80</v>
      </c>
      <c r="O30" s="48">
        <v>80</v>
      </c>
      <c r="P30" s="48">
        <v>80</v>
      </c>
      <c r="Q30" s="2"/>
      <c r="R30" s="2"/>
      <c r="T30" s="36">
        <f>SUM(D30:G30)</f>
        <v>280</v>
      </c>
      <c r="U30" s="76">
        <f>T30/8/20</f>
        <v>1.75</v>
      </c>
      <c r="V30" s="36">
        <f>U30*$T$4</f>
        <v>2183125</v>
      </c>
      <c r="W30" s="11">
        <f>SUM(H30:M30)</f>
        <v>440</v>
      </c>
      <c r="X30" s="76">
        <f>W30/8/20</f>
        <v>2.75</v>
      </c>
      <c r="Y30" s="36">
        <f>(W30/8/20)*$T$4</f>
        <v>3430625</v>
      </c>
      <c r="Z30" s="11">
        <f>SUM(N30:P30)</f>
        <v>240</v>
      </c>
      <c r="AA30" s="76">
        <f>Z30/8/20</f>
        <v>1.5</v>
      </c>
      <c r="AB30" s="36">
        <f>(Z30/8/20)*$T$4</f>
        <v>1871250</v>
      </c>
      <c r="AC30" s="77"/>
    </row>
    <row r="31" spans="2:31">
      <c r="B31" s="40"/>
      <c r="C31" s="3" t="s">
        <v>270</v>
      </c>
      <c r="D31" s="2">
        <v>40</v>
      </c>
      <c r="E31" s="2">
        <v>80</v>
      </c>
      <c r="F31" s="2">
        <v>80</v>
      </c>
      <c r="G31" s="2">
        <v>80</v>
      </c>
      <c r="H31" s="2">
        <v>80</v>
      </c>
      <c r="I31" s="2">
        <v>40</v>
      </c>
      <c r="J31" s="2">
        <v>80</v>
      </c>
      <c r="K31" s="2">
        <v>80</v>
      </c>
      <c r="L31" s="2">
        <v>80</v>
      </c>
      <c r="M31" s="2">
        <v>80</v>
      </c>
      <c r="N31" s="2">
        <v>80</v>
      </c>
      <c r="O31" s="2">
        <v>80</v>
      </c>
      <c r="P31" s="2">
        <v>80</v>
      </c>
      <c r="Q31" s="2"/>
      <c r="R31" s="2"/>
      <c r="T31" s="36">
        <f>SUM(D31:G31)</f>
        <v>280</v>
      </c>
      <c r="U31" s="76">
        <f t="shared" ref="U31:U34" si="36">T31/8/20</f>
        <v>1.75</v>
      </c>
      <c r="V31" s="36">
        <f>U31*$T$4</f>
        <v>2183125</v>
      </c>
      <c r="W31" s="11">
        <f>SUM(H31:M31)</f>
        <v>440</v>
      </c>
      <c r="X31" s="76">
        <f t="shared" ref="X31:X34" si="37">W31/8/20</f>
        <v>2.75</v>
      </c>
      <c r="Y31" s="36">
        <f>(W31/8/20)*$T$4</f>
        <v>3430625</v>
      </c>
      <c r="Z31" s="11">
        <f>SUM(N31:P31)</f>
        <v>240</v>
      </c>
      <c r="AA31" s="76">
        <f t="shared" ref="AA31:AA34" si="38">Z31/8/20</f>
        <v>1.5</v>
      </c>
      <c r="AB31" s="36">
        <f>(Z31/8/20)*$T$4</f>
        <v>1871250</v>
      </c>
      <c r="AC31" s="77"/>
    </row>
    <row r="32" spans="2:31">
      <c r="B32" s="40"/>
      <c r="C32" s="3" t="s">
        <v>271</v>
      </c>
      <c r="D32" s="2">
        <v>20</v>
      </c>
      <c r="E32" s="2">
        <v>40</v>
      </c>
      <c r="F32" s="2">
        <v>40</v>
      </c>
      <c r="G32" s="2">
        <v>20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36">
        <f>SUM(D32:G32)</f>
        <v>120</v>
      </c>
      <c r="U32" s="76">
        <f t="shared" si="36"/>
        <v>0.75</v>
      </c>
      <c r="V32" s="36">
        <f t="shared" ref="V31:V34" si="39">U32*$T$4</f>
        <v>935625</v>
      </c>
      <c r="W32" s="11">
        <f>SUM(H32:M32)</f>
        <v>0</v>
      </c>
      <c r="X32" s="76">
        <f t="shared" si="37"/>
        <v>0</v>
      </c>
      <c r="Y32" s="36">
        <f t="shared" ref="Y32" si="40">(W32/8/20)*$T$4</f>
        <v>0</v>
      </c>
      <c r="Z32" s="11">
        <f>SUM(N32:P32)</f>
        <v>0</v>
      </c>
      <c r="AA32" s="76">
        <f t="shared" si="38"/>
        <v>0</v>
      </c>
      <c r="AB32" s="36">
        <f t="shared" ref="AB32" si="41">(Z32/8/20)*$T$4</f>
        <v>0</v>
      </c>
      <c r="AC32" s="77"/>
    </row>
    <row r="33" spans="2:31">
      <c r="B33" s="40"/>
      <c r="C33" s="3" t="s">
        <v>272</v>
      </c>
      <c r="D33" s="2">
        <v>30</v>
      </c>
      <c r="E33" s="2">
        <v>60</v>
      </c>
      <c r="F33" s="2">
        <v>60</v>
      </c>
      <c r="G33" s="2">
        <v>30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36">
        <f>SUM(D33:G33)</f>
        <v>180</v>
      </c>
      <c r="U33" s="76">
        <f>T33/8/20</f>
        <v>1.125</v>
      </c>
      <c r="V33" s="36">
        <f t="shared" si="39"/>
        <v>1403437.5</v>
      </c>
      <c r="W33" s="11">
        <f>SUM(H33:M33)</f>
        <v>0</v>
      </c>
      <c r="X33" s="76">
        <f t="shared" si="37"/>
        <v>0</v>
      </c>
      <c r="Y33" s="36">
        <f t="shared" ref="Y33" si="42">(W33/8/20)*$T$4</f>
        <v>0</v>
      </c>
      <c r="Z33" s="11">
        <f>SUM(N33:P33)</f>
        <v>0</v>
      </c>
      <c r="AA33" s="76">
        <f t="shared" si="38"/>
        <v>0</v>
      </c>
      <c r="AB33" s="36">
        <f t="shared" ref="AB33" si="43">(Z33/8/20)*$T$4</f>
        <v>0</v>
      </c>
      <c r="AC33" s="77"/>
    </row>
    <row r="34" spans="2:31" ht="19" thickBot="1">
      <c r="B34" s="40"/>
      <c r="C34" s="3" t="s">
        <v>273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36">
        <f>SUM(D34:G34)</f>
        <v>0</v>
      </c>
      <c r="U34" s="76">
        <f t="shared" si="36"/>
        <v>0</v>
      </c>
      <c r="V34" s="36">
        <f t="shared" si="39"/>
        <v>0</v>
      </c>
      <c r="W34" s="11">
        <f>SUM(H34:M34)</f>
        <v>0</v>
      </c>
      <c r="X34" s="76">
        <f t="shared" si="37"/>
        <v>0</v>
      </c>
      <c r="Y34" s="36">
        <f t="shared" ref="Y34" si="44">(W34/8/20)*$T$4</f>
        <v>0</v>
      </c>
      <c r="Z34" s="11">
        <f>SUM(N34:P34)</f>
        <v>0</v>
      </c>
      <c r="AA34" s="76">
        <f t="shared" si="38"/>
        <v>0</v>
      </c>
      <c r="AB34" s="36">
        <f t="shared" ref="AB34" si="45">(Z34/8/20)*$T$4</f>
        <v>0</v>
      </c>
      <c r="AC34" s="77"/>
      <c r="AD34" s="14" t="s">
        <v>356</v>
      </c>
      <c r="AE34" s="14" t="s">
        <v>357</v>
      </c>
    </row>
    <row r="35" spans="2:31" ht="19" thickBot="1">
      <c r="B35" s="41"/>
      <c r="C35" s="3" t="s">
        <v>344</v>
      </c>
      <c r="D35" s="9">
        <f>SUM(D30:D34)</f>
        <v>130</v>
      </c>
      <c r="E35" s="9">
        <f t="shared" ref="E35" si="46">SUM(E30:E34)</f>
        <v>260</v>
      </c>
      <c r="F35" s="9">
        <f t="shared" ref="F35" si="47">SUM(F30:F34)</f>
        <v>260</v>
      </c>
      <c r="G35" s="9">
        <f t="shared" ref="G35" si="48">SUM(G30:G34)</f>
        <v>210</v>
      </c>
      <c r="H35" s="9">
        <f t="shared" ref="H35" si="49">SUM(H30:H34)</f>
        <v>160</v>
      </c>
      <c r="I35" s="9">
        <f t="shared" ref="I35" si="50">SUM(I30:I34)</f>
        <v>80</v>
      </c>
      <c r="J35" s="9">
        <f t="shared" ref="J35" si="51">SUM(J30:J34)</f>
        <v>160</v>
      </c>
      <c r="K35" s="9">
        <f t="shared" ref="K35" si="52">SUM(K30:K34)</f>
        <v>160</v>
      </c>
      <c r="L35" s="9">
        <f t="shared" ref="L35" si="53">SUM(L30:L34)</f>
        <v>160</v>
      </c>
      <c r="M35" s="9">
        <f t="shared" ref="M35" si="54">SUM(M30:M34)</f>
        <v>160</v>
      </c>
      <c r="N35" s="9">
        <f t="shared" ref="N35" si="55">SUM(N30:N34)</f>
        <v>160</v>
      </c>
      <c r="O35" s="9">
        <f t="shared" ref="O35" si="56">SUM(O30:O34)</f>
        <v>160</v>
      </c>
      <c r="P35" s="9">
        <f t="shared" ref="P35" si="57">SUM(P30:P34)</f>
        <v>160</v>
      </c>
      <c r="Q35" s="9">
        <f t="shared" ref="Q35" si="58">SUM(Q30:Q34)</f>
        <v>0</v>
      </c>
      <c r="R35" s="9">
        <f t="shared" ref="R35" si="59">SUM(R30:R34)</f>
        <v>0</v>
      </c>
      <c r="T35" s="37">
        <f>SUM(T30:T34)</f>
        <v>860</v>
      </c>
      <c r="U35" s="78">
        <f>SUM(U30:U34)</f>
        <v>5.375</v>
      </c>
      <c r="V35" s="79">
        <f>SUM(V30:V34)</f>
        <v>6705312.5</v>
      </c>
      <c r="W35" s="23">
        <f>SUM(W30:W34)</f>
        <v>880</v>
      </c>
      <c r="X35" s="78">
        <f>SUM(X30:X34)</f>
        <v>5.5</v>
      </c>
      <c r="Y35" s="80">
        <f>SUM(Y30:Y34)</f>
        <v>6861250</v>
      </c>
      <c r="Z35" s="23">
        <f>SUM(Z30:Z34)</f>
        <v>480</v>
      </c>
      <c r="AA35" s="78">
        <f>SUM(AA30:AA34)</f>
        <v>3</v>
      </c>
      <c r="AB35" s="79">
        <f>SUM(AB30:AB34)</f>
        <v>3742500</v>
      </c>
      <c r="AC35" s="77"/>
      <c r="AD35" s="81">
        <f>T35+W35+Z35</f>
        <v>2220</v>
      </c>
      <c r="AE35" s="81">
        <f>V35+Y35+AB35</f>
        <v>17309062.5</v>
      </c>
    </row>
  </sheetData>
  <mergeCells count="27">
    <mergeCell ref="Z6:AB6"/>
    <mergeCell ref="T17:V17"/>
    <mergeCell ref="W17:Y17"/>
    <mergeCell ref="Z17:AB17"/>
    <mergeCell ref="T28:V28"/>
    <mergeCell ref="W28:Y28"/>
    <mergeCell ref="Z28:AB28"/>
    <mergeCell ref="T6:V6"/>
    <mergeCell ref="B2:C3"/>
    <mergeCell ref="H28:I28"/>
    <mergeCell ref="J27:M27"/>
    <mergeCell ref="W6:Y6"/>
    <mergeCell ref="N29:P29"/>
    <mergeCell ref="B4:B13"/>
    <mergeCell ref="B15:B24"/>
    <mergeCell ref="B26:B35"/>
    <mergeCell ref="D15:H16"/>
    <mergeCell ref="I17:L17"/>
    <mergeCell ref="M18:O18"/>
    <mergeCell ref="D26:G26"/>
    <mergeCell ref="H27:I27"/>
    <mergeCell ref="J28:M28"/>
    <mergeCell ref="D2:F2"/>
    <mergeCell ref="G2:R2"/>
    <mergeCell ref="L7:N7"/>
    <mergeCell ref="H6:K6"/>
    <mergeCell ref="D4:G5"/>
  </mergeCells>
  <phoneticPr fontId="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82CE99-0809-1742-B109-32414974809B}">
          <x14:formula1>
            <xm:f>単価!$B$16:$B$17</xm:f>
          </x14:formula1>
          <xm:sqref>T3:U3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EFFE-90A1-4942-88CF-5CA0C4DBC456}">
  <dimension ref="B2:J17"/>
  <sheetViews>
    <sheetView showGridLines="0" workbookViewId="0"/>
  </sheetViews>
  <sheetFormatPr baseColWidth="10" defaultRowHeight="18"/>
  <cols>
    <col min="1" max="1" width="3.6640625" style="1" customWidth="1"/>
    <col min="2" max="2" width="10.83203125" style="1"/>
    <col min="3" max="3" width="15.33203125" style="1" bestFit="1" customWidth="1"/>
    <col min="4" max="4" width="47.83203125" style="1" customWidth="1"/>
    <col min="5" max="5" width="5.5" style="1" bestFit="1" customWidth="1"/>
    <col min="6" max="6" width="6" style="1" bestFit="1" customWidth="1"/>
    <col min="7" max="7" width="14.1640625" style="1" bestFit="1" customWidth="1"/>
    <col min="8" max="9" width="4" style="1" bestFit="1" customWidth="1"/>
    <col min="10" max="10" width="11.5" style="1" bestFit="1" customWidth="1"/>
    <col min="11" max="16384" width="10.83203125" style="1"/>
  </cols>
  <sheetData>
    <row r="2" spans="2:10">
      <c r="B2" s="14" t="s">
        <v>318</v>
      </c>
    </row>
    <row r="3" spans="2:10">
      <c r="B3" s="12" t="s">
        <v>307</v>
      </c>
      <c r="C3" s="12" t="s">
        <v>308</v>
      </c>
      <c r="D3" s="12" t="s">
        <v>308</v>
      </c>
      <c r="E3" s="17" t="s">
        <v>305</v>
      </c>
      <c r="F3" s="18"/>
      <c r="G3" s="17" t="s">
        <v>306</v>
      </c>
      <c r="H3" s="18"/>
      <c r="J3" s="1" t="s">
        <v>316</v>
      </c>
    </row>
    <row r="4" spans="2:10">
      <c r="B4" s="2" t="s">
        <v>267</v>
      </c>
      <c r="C4" s="2" t="s">
        <v>302</v>
      </c>
      <c r="D4" s="2" t="s">
        <v>312</v>
      </c>
      <c r="E4" s="2">
        <v>5</v>
      </c>
      <c r="F4" s="3" t="s">
        <v>303</v>
      </c>
      <c r="G4" s="11">
        <v>6237500</v>
      </c>
      <c r="H4" s="3" t="s">
        <v>304</v>
      </c>
      <c r="I4" s="10" t="s">
        <v>317</v>
      </c>
      <c r="J4" s="15">
        <f>G4/E4</f>
        <v>1247500</v>
      </c>
    </row>
    <row r="5" spans="2:10">
      <c r="B5" s="2" t="s">
        <v>267</v>
      </c>
      <c r="C5" s="2" t="s">
        <v>309</v>
      </c>
      <c r="D5" s="2" t="s">
        <v>310</v>
      </c>
      <c r="E5" s="2">
        <v>21</v>
      </c>
      <c r="F5" s="3" t="s">
        <v>303</v>
      </c>
      <c r="G5" s="11">
        <v>26197500</v>
      </c>
      <c r="H5" s="3" t="s">
        <v>304</v>
      </c>
      <c r="I5" s="10" t="s">
        <v>317</v>
      </c>
      <c r="J5" s="15">
        <f>G5/E5</f>
        <v>1247500</v>
      </c>
    </row>
    <row r="6" spans="2:10">
      <c r="B6" s="2" t="s">
        <v>268</v>
      </c>
      <c r="C6" s="2" t="s">
        <v>311</v>
      </c>
      <c r="D6" s="2" t="s">
        <v>313</v>
      </c>
      <c r="E6" s="2">
        <v>14</v>
      </c>
      <c r="F6" s="3" t="s">
        <v>303</v>
      </c>
      <c r="G6" s="11">
        <v>17465000</v>
      </c>
      <c r="H6" s="3" t="s">
        <v>304</v>
      </c>
      <c r="I6" s="10" t="s">
        <v>317</v>
      </c>
      <c r="J6" s="15">
        <f>G6/E6</f>
        <v>1247500</v>
      </c>
    </row>
    <row r="7" spans="2:10">
      <c r="B7" s="20" t="s">
        <v>327</v>
      </c>
      <c r="C7" s="21"/>
      <c r="D7" s="21"/>
      <c r="E7" s="21"/>
      <c r="F7" s="22"/>
      <c r="G7" s="23">
        <f>SUM(G4:G6)</f>
        <v>49900000</v>
      </c>
      <c r="H7" s="24" t="s">
        <v>304</v>
      </c>
      <c r="I7" s="10"/>
      <c r="J7" s="15"/>
    </row>
    <row r="8" spans="2:10">
      <c r="B8" s="2" t="s">
        <v>319</v>
      </c>
      <c r="C8" s="2" t="s">
        <v>302</v>
      </c>
      <c r="D8" s="2" t="s">
        <v>322</v>
      </c>
      <c r="E8" s="2">
        <v>1</v>
      </c>
      <c r="F8" s="3" t="s">
        <v>303</v>
      </c>
      <c r="G8" s="11">
        <v>1247500</v>
      </c>
      <c r="H8" s="3" t="s">
        <v>304</v>
      </c>
      <c r="I8" s="10" t="s">
        <v>317</v>
      </c>
      <c r="J8" s="15">
        <f>G8/E8</f>
        <v>1247500</v>
      </c>
    </row>
    <row r="9" spans="2:10">
      <c r="B9" s="2" t="s">
        <v>320</v>
      </c>
      <c r="C9" s="2" t="s">
        <v>321</v>
      </c>
      <c r="D9" s="2" t="s">
        <v>323</v>
      </c>
      <c r="E9" s="2">
        <v>0.5</v>
      </c>
      <c r="F9" s="3" t="s">
        <v>303</v>
      </c>
      <c r="G9" s="11">
        <v>623750</v>
      </c>
      <c r="H9" s="3" t="s">
        <v>304</v>
      </c>
      <c r="I9" s="10" t="s">
        <v>317</v>
      </c>
      <c r="J9" s="15">
        <f>G9/E9</f>
        <v>1247500</v>
      </c>
    </row>
    <row r="10" spans="2:10" ht="19" thickBot="1">
      <c r="B10" s="25" t="s">
        <v>327</v>
      </c>
      <c r="C10" s="25"/>
      <c r="D10" s="25"/>
      <c r="E10" s="25"/>
      <c r="F10" s="25"/>
      <c r="G10" s="26">
        <f>SUM(G8:G9)</f>
        <v>1871250</v>
      </c>
      <c r="H10" s="27" t="s">
        <v>304</v>
      </c>
    </row>
    <row r="11" spans="2:10" ht="19" thickBot="1">
      <c r="B11" s="28" t="s">
        <v>328</v>
      </c>
      <c r="C11" s="29"/>
      <c r="D11" s="29"/>
      <c r="E11" s="29"/>
      <c r="F11" s="29"/>
      <c r="G11" s="30">
        <f>G7+G10</f>
        <v>51771250</v>
      </c>
      <c r="H11" s="31" t="s">
        <v>304</v>
      </c>
    </row>
    <row r="14" spans="2:10">
      <c r="B14" s="14" t="s">
        <v>314</v>
      </c>
    </row>
    <row r="15" spans="2:10">
      <c r="B15" s="12" t="s">
        <v>326</v>
      </c>
      <c r="C15" s="12" t="s">
        <v>325</v>
      </c>
    </row>
    <row r="16" spans="2:10">
      <c r="B16" s="3" t="s">
        <v>315</v>
      </c>
      <c r="C16" s="11">
        <v>1600000</v>
      </c>
    </row>
    <row r="17" spans="2:3">
      <c r="B17" s="3" t="s">
        <v>324</v>
      </c>
      <c r="C17" s="16">
        <f>J4</f>
        <v>1247500</v>
      </c>
    </row>
  </sheetData>
  <mergeCells count="5">
    <mergeCell ref="G3:H3"/>
    <mergeCell ref="E3:F3"/>
    <mergeCell ref="B7:F7"/>
    <mergeCell ref="B10:F10"/>
    <mergeCell ref="B11:F1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機能一覧</vt:lpstr>
      <vt:lpstr>インフラ</vt:lpstr>
      <vt:lpstr>工程別見積</vt:lpstr>
      <vt:lpstr>山積み</vt:lpstr>
      <vt:lpstr>単価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亮太 渡邉</cp:lastModifiedBy>
  <dcterms:modified xsi:type="dcterms:W3CDTF">2025-12-16T04:27:55Z</dcterms:modified>
</cp:coreProperties>
</file>